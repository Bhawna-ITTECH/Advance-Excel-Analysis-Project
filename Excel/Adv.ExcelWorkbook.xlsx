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3.xml" ContentType="application/vnd.openxmlformats-officedocument.drawing+xml"/>
  <Override PartName="/xl/slicers/slicer3.xml" ContentType="application/vnd.ms-excel.slicer+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https://d.docs.live.net/7b67638e986fa327/Desktop/Excel DataSet for Interview/"/>
    </mc:Choice>
  </mc:AlternateContent>
  <xr:revisionPtr revIDLastSave="395" documentId="13_ncr:1_{F82116E9-4027-45B4-8E55-3E3EC07D2DFB}" xr6:coauthVersionLast="47" xr6:coauthVersionMax="47" xr10:uidLastSave="{37F6AF3E-DF70-4348-AA03-D3BFA56C65A6}"/>
  <bookViews>
    <workbookView xWindow="-108" yWindow="-108" windowWidth="23256" windowHeight="12456" firstSheet="4" activeTab="9" xr2:uid="{89199401-6157-491E-A90D-D5C4B9132901}"/>
  </bookViews>
  <sheets>
    <sheet name="Basic" sheetId="2" r:id="rId1"/>
    <sheet name="Intermediate" sheetId="3" r:id="rId2"/>
    <sheet name="Lookup" sheetId="4" r:id="rId3"/>
    <sheet name="Date Function" sheetId="5" r:id="rId4"/>
    <sheet name="Advance" sheetId="6" r:id="rId5"/>
    <sheet name="What-IF Analysis" sheetId="7" r:id="rId6"/>
    <sheet name="Chart &amp; Dashboard" sheetId="8" r:id="rId7"/>
    <sheet name="Adv. Data Cleaning" sheetId="9" r:id="rId8"/>
    <sheet name="Adv.ExcelSheet" sheetId="1" r:id="rId9"/>
    <sheet name="Dashboard" sheetId="10" r:id="rId10"/>
  </sheets>
  <definedNames>
    <definedName name="Slicer_Customer_Segment">#N/A</definedName>
    <definedName name="Slicer_Order_Month">#N/A</definedName>
    <definedName name="Slicer_Product_Category">#N/A</definedName>
    <definedName name="Slicer_Product_Category1">#N/A</definedName>
    <definedName name="Slicer_Region">#N/A</definedName>
    <definedName name="Slicer_Region1">#N/A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9" i="1" l="1"/>
  <c r="A42" i="10" s="1"/>
  <c r="A41" i="10"/>
  <c r="A40" i="10"/>
  <c r="A39" i="10"/>
  <c r="B58" i="1"/>
  <c r="B57" i="1"/>
  <c r="B56" i="1"/>
  <c r="CQ24" i="1"/>
  <c r="CQ25" i="1"/>
  <c r="CQ26" i="1"/>
  <c r="CQ27" i="1"/>
  <c r="CQ28" i="1"/>
  <c r="CQ29" i="1"/>
  <c r="CQ30" i="1"/>
  <c r="CQ31" i="1"/>
  <c r="CQ32" i="1"/>
  <c r="CQ33" i="1"/>
  <c r="CQ34" i="1"/>
  <c r="CQ35" i="1"/>
  <c r="CQ36" i="1"/>
  <c r="CQ37" i="1"/>
  <c r="CQ38" i="1"/>
  <c r="CQ39" i="1"/>
  <c r="CQ40" i="1"/>
  <c r="CQ41" i="1"/>
  <c r="CQ42" i="1"/>
  <c r="CQ43" i="1"/>
  <c r="CQ44" i="1"/>
  <c r="CQ45" i="1"/>
  <c r="CQ46" i="1"/>
  <c r="CQ47" i="1"/>
  <c r="CQ48" i="1"/>
  <c r="CQ49" i="1"/>
  <c r="CQ50" i="1"/>
  <c r="CQ51" i="1"/>
  <c r="CR5" i="1"/>
  <c r="CR6" i="1"/>
  <c r="CR7" i="1"/>
  <c r="CR8" i="1"/>
  <c r="CR9" i="1"/>
  <c r="CR10" i="1"/>
  <c r="CR11" i="1"/>
  <c r="CR12" i="1"/>
  <c r="CQ23" i="1"/>
  <c r="AS3" i="1"/>
  <c r="AS4" i="1"/>
  <c r="AS5" i="1"/>
  <c r="AS6" i="1"/>
  <c r="AS7" i="1"/>
  <c r="AS8" i="1"/>
  <c r="AS9" i="1"/>
  <c r="AS10" i="1"/>
  <c r="AS11" i="1"/>
  <c r="AS12" i="1"/>
  <c r="AS13" i="1"/>
  <c r="AS14" i="1"/>
  <c r="AS15" i="1"/>
  <c r="AS16" i="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AS45" i="1"/>
  <c r="AS46" i="1"/>
  <c r="AS47" i="1"/>
  <c r="AS48" i="1"/>
  <c r="AS49" i="1"/>
  <c r="AS50" i="1"/>
  <c r="AS51" i="1"/>
  <c r="AS2" i="1"/>
  <c r="CO6" i="1"/>
  <c r="CO4" i="1"/>
  <c r="CO5" i="1"/>
  <c r="CO7" i="1"/>
  <c r="CO8" i="1"/>
  <c r="CO9" i="1"/>
  <c r="CO10" i="1"/>
  <c r="CO11" i="1"/>
  <c r="CO12" i="1"/>
  <c r="J10" i="1"/>
  <c r="J46" i="1"/>
  <c r="G3" i="1"/>
  <c r="J3" i="1" s="1"/>
  <c r="G4" i="1"/>
  <c r="J4" i="1" s="1"/>
  <c r="G5" i="1"/>
  <c r="G6" i="1"/>
  <c r="G7" i="1"/>
  <c r="G8" i="1"/>
  <c r="G9" i="1"/>
  <c r="G10" i="1"/>
  <c r="G11" i="1"/>
  <c r="G12" i="1"/>
  <c r="G13" i="1"/>
  <c r="J13" i="1" s="1"/>
  <c r="U13" i="1" s="1"/>
  <c r="G14" i="1"/>
  <c r="J14" i="1" s="1"/>
  <c r="U14" i="1" s="1"/>
  <c r="G15" i="1"/>
  <c r="J15" i="1" s="1"/>
  <c r="G16" i="1"/>
  <c r="J16" i="1" s="1"/>
  <c r="G17" i="1"/>
  <c r="J17" i="1" s="1"/>
  <c r="G18" i="1"/>
  <c r="J18" i="1" s="1"/>
  <c r="G19" i="1"/>
  <c r="J19" i="1" s="1"/>
  <c r="G20" i="1"/>
  <c r="J20" i="1" s="1"/>
  <c r="G21" i="1"/>
  <c r="J21" i="1" s="1"/>
  <c r="G22" i="1"/>
  <c r="J22" i="1" s="1"/>
  <c r="G23" i="1"/>
  <c r="J23" i="1" s="1"/>
  <c r="G24" i="1"/>
  <c r="J24" i="1" s="1"/>
  <c r="G25" i="1"/>
  <c r="J25" i="1" s="1"/>
  <c r="U25" i="1" s="1"/>
  <c r="G26" i="1"/>
  <c r="J26" i="1" s="1"/>
  <c r="U26" i="1" s="1"/>
  <c r="G27" i="1"/>
  <c r="J27" i="1" s="1"/>
  <c r="G28" i="1"/>
  <c r="J28" i="1" s="1"/>
  <c r="G29" i="1"/>
  <c r="J29" i="1" s="1"/>
  <c r="G30" i="1"/>
  <c r="J30" i="1" s="1"/>
  <c r="G31" i="1"/>
  <c r="J31" i="1" s="1"/>
  <c r="G32" i="1"/>
  <c r="J32" i="1" s="1"/>
  <c r="G33" i="1"/>
  <c r="J33" i="1" s="1"/>
  <c r="G34" i="1"/>
  <c r="J34" i="1" s="1"/>
  <c r="G35" i="1"/>
  <c r="J35" i="1" s="1"/>
  <c r="G36" i="1"/>
  <c r="J36" i="1" s="1"/>
  <c r="G37" i="1"/>
  <c r="J37" i="1" s="1"/>
  <c r="U37" i="1" s="1"/>
  <c r="G38" i="1"/>
  <c r="J38" i="1" s="1"/>
  <c r="U38" i="1" s="1"/>
  <c r="G39" i="1"/>
  <c r="J39" i="1" s="1"/>
  <c r="G40" i="1"/>
  <c r="J40" i="1" s="1"/>
  <c r="G41" i="1"/>
  <c r="J41" i="1" s="1"/>
  <c r="G42" i="1"/>
  <c r="J42" i="1" s="1"/>
  <c r="G43" i="1"/>
  <c r="J43" i="1" s="1"/>
  <c r="G44" i="1"/>
  <c r="J44" i="1" s="1"/>
  <c r="G45" i="1"/>
  <c r="J45" i="1" s="1"/>
  <c r="G46" i="1"/>
  <c r="G47" i="1"/>
  <c r="J47" i="1" s="1"/>
  <c r="G48" i="1"/>
  <c r="J48" i="1" s="1"/>
  <c r="G49" i="1"/>
  <c r="J49" i="1" s="1"/>
  <c r="U49" i="1" s="1"/>
  <c r="G50" i="1"/>
  <c r="J50" i="1" s="1"/>
  <c r="U50" i="1" s="1"/>
  <c r="G51" i="1"/>
  <c r="J51" i="1" s="1"/>
  <c r="G2" i="1"/>
  <c r="J2" i="1" s="1"/>
  <c r="AM2" i="1"/>
  <c r="AO2" i="1"/>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O3" i="1"/>
  <c r="AO4" i="1"/>
  <c r="AO5" i="1"/>
  <c r="AO6" i="1"/>
  <c r="AO7" i="1"/>
  <c r="AO8" i="1"/>
  <c r="AO9" i="1"/>
  <c r="AO10" i="1"/>
  <c r="AO11" i="1"/>
  <c r="AO12" i="1"/>
  <c r="AO13" i="1"/>
  <c r="AO14" i="1"/>
  <c r="AO15" i="1"/>
  <c r="AO16" i="1"/>
  <c r="AO17" i="1"/>
  <c r="AO18" i="1"/>
  <c r="AO19" i="1"/>
  <c r="AO20" i="1"/>
  <c r="AO21" i="1"/>
  <c r="AO22" i="1"/>
  <c r="AO23" i="1"/>
  <c r="AO24" i="1"/>
  <c r="AO25" i="1"/>
  <c r="AO26" i="1"/>
  <c r="AO27" i="1"/>
  <c r="AO28" i="1"/>
  <c r="AO29" i="1"/>
  <c r="AO30" i="1"/>
  <c r="AO31" i="1"/>
  <c r="AO32" i="1"/>
  <c r="AO33" i="1"/>
  <c r="AO34" i="1"/>
  <c r="AO35" i="1"/>
  <c r="AO36" i="1"/>
  <c r="AO37" i="1"/>
  <c r="AO38" i="1"/>
  <c r="AO39" i="1"/>
  <c r="AO40" i="1"/>
  <c r="AO41" i="1"/>
  <c r="AO42" i="1"/>
  <c r="AO43" i="1"/>
  <c r="AO44" i="1"/>
  <c r="AO45" i="1"/>
  <c r="AO46" i="1"/>
  <c r="AO47" i="1"/>
  <c r="AO48" i="1"/>
  <c r="AO49" i="1"/>
  <c r="AO50" i="1"/>
  <c r="AO51" i="1"/>
  <c r="AL2" i="1"/>
  <c r="CF27" i="1" a="1"/>
  <c r="CF27" i="1" s="1"/>
  <c r="CF15" i="1"/>
  <c r="CF30"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J2" i="1"/>
  <c r="AD2" i="1"/>
  <c r="BX18" i="1"/>
  <c r="BX17" i="1"/>
  <c r="AF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2"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2" i="1"/>
  <c r="AC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BN29" i="1"/>
  <c r="BN26" i="1"/>
  <c r="BN23" i="1"/>
  <c r="BN20" i="1" a="1"/>
  <c r="BN20" i="1" s="1"/>
  <c r="BN17" i="1" a="1"/>
  <c r="BN17" i="1" s="1"/>
  <c r="BN14" i="1" a="1"/>
  <c r="BN14" i="1" s="1"/>
  <c r="BN11" i="1"/>
  <c r="BN8" i="1"/>
  <c r="BN5" i="1"/>
  <c r="BN2" i="1"/>
  <c r="AB2" i="1"/>
  <c r="AA2" i="1"/>
  <c r="AY23" i="1"/>
  <c r="AY20" i="1"/>
  <c r="Z2" i="1"/>
  <c r="W14"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Y2" i="1"/>
  <c r="X2" i="1"/>
  <c r="W2" i="1"/>
  <c r="V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W3" i="1"/>
  <c r="W4" i="1"/>
  <c r="W5" i="1"/>
  <c r="W6" i="1"/>
  <c r="W7" i="1"/>
  <c r="W8" i="1"/>
  <c r="W9" i="1"/>
  <c r="W10" i="1"/>
  <c r="W11" i="1"/>
  <c r="W12" i="1"/>
  <c r="W13"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AV5" i="1"/>
  <c r="AU5" i="1"/>
  <c r="AT5" i="1"/>
  <c r="AW2" i="1"/>
  <c r="AV2" i="1"/>
  <c r="AU2" i="1"/>
  <c r="AT2" i="1"/>
  <c r="AT20" i="1"/>
  <c r="AT17" i="1"/>
  <c r="AT14" i="1"/>
  <c r="AT8" i="1"/>
  <c r="J8" i="1" l="1"/>
  <c r="J7" i="1"/>
  <c r="U7" i="1" s="1"/>
  <c r="CR4" i="1"/>
  <c r="J9" i="1"/>
  <c r="U9" i="1" s="1"/>
  <c r="J12" i="1"/>
  <c r="AN12" i="1" s="1" a="1"/>
  <c r="AN12" i="1" s="1"/>
  <c r="J6" i="1"/>
  <c r="U6" i="1" s="1"/>
  <c r="J11" i="1"/>
  <c r="U11" i="1" s="1"/>
  <c r="J5" i="1"/>
  <c r="U44" i="1"/>
  <c r="U32" i="1"/>
  <c r="AN20" i="1" a="1"/>
  <c r="AN20" i="1" s="1"/>
  <c r="U8" i="1"/>
  <c r="AN43" i="1" a="1"/>
  <c r="AN43" i="1" s="1"/>
  <c r="U31" i="1"/>
  <c r="U19" i="1"/>
  <c r="AN48" i="1" a="1"/>
  <c r="AN48" i="1" s="1"/>
  <c r="U36" i="1"/>
  <c r="AN30" i="1" a="1"/>
  <c r="AN30" i="1" s="1"/>
  <c r="AN24" i="1" a="1"/>
  <c r="AN24" i="1" s="1"/>
  <c r="U18" i="1"/>
  <c r="AN18" i="1" a="1"/>
  <c r="AN18" i="1" s="1"/>
  <c r="AN42" i="1" a="1"/>
  <c r="AN42" i="1" s="1"/>
  <c r="U42" i="1"/>
  <c r="U47" i="1"/>
  <c r="AN47" i="1" a="1"/>
  <c r="AN47" i="1" s="1"/>
  <c r="U10" i="1"/>
  <c r="AN10" i="1" a="1"/>
  <c r="AN10" i="1" s="1"/>
  <c r="U15" i="1"/>
  <c r="AN15" i="1" a="1"/>
  <c r="AN15" i="1" s="1"/>
  <c r="AN41" i="1" a="1"/>
  <c r="AN41" i="1" s="1"/>
  <c r="U41" i="1"/>
  <c r="AN35" i="1" a="1"/>
  <c r="AN35" i="1" s="1"/>
  <c r="U35" i="1"/>
  <c r="U29" i="1"/>
  <c r="AN29" i="1" a="1"/>
  <c r="AN29" i="1" s="1"/>
  <c r="AN23" i="1" a="1"/>
  <c r="AN23" i="1" s="1"/>
  <c r="U23" i="1"/>
  <c r="U17" i="1"/>
  <c r="AN17" i="1" a="1"/>
  <c r="AN17" i="1" s="1"/>
  <c r="AN5" i="1" a="1"/>
  <c r="AN5" i="1" s="1"/>
  <c r="U5" i="1"/>
  <c r="U46" i="1"/>
  <c r="AN46" i="1" a="1"/>
  <c r="AN46" i="1" s="1"/>
  <c r="AN40" i="1" a="1"/>
  <c r="AN40" i="1" s="1"/>
  <c r="U40" i="1"/>
  <c r="U34" i="1"/>
  <c r="AN34" i="1" a="1"/>
  <c r="AN34" i="1" s="1"/>
  <c r="U28" i="1"/>
  <c r="AN28" i="1" a="1"/>
  <c r="AN28" i="1" s="1"/>
  <c r="AN22" i="1" a="1"/>
  <c r="AN22" i="1" s="1"/>
  <c r="U22" i="1"/>
  <c r="U16" i="1"/>
  <c r="AN16" i="1" a="1"/>
  <c r="AN16" i="1" s="1"/>
  <c r="AN4" i="1" a="1"/>
  <c r="AN4" i="1" s="1"/>
  <c r="U4" i="1"/>
  <c r="U51" i="1"/>
  <c r="AN51" i="1" a="1"/>
  <c r="AN51" i="1" s="1"/>
  <c r="U45" i="1"/>
  <c r="AN45" i="1" a="1"/>
  <c r="AN45" i="1" s="1"/>
  <c r="AN39" i="1" a="1"/>
  <c r="AN39" i="1" s="1"/>
  <c r="U39" i="1"/>
  <c r="U33" i="1"/>
  <c r="AN33" i="1" a="1"/>
  <c r="AN33" i="1" s="1"/>
  <c r="AN27" i="1" a="1"/>
  <c r="AN27" i="1" s="1"/>
  <c r="U27" i="1"/>
  <c r="AN21" i="1" a="1"/>
  <c r="AN21" i="1" s="1"/>
  <c r="U21" i="1"/>
  <c r="AN3" i="1" a="1"/>
  <c r="AN3" i="1" s="1"/>
  <c r="U3" i="1"/>
  <c r="U24" i="1"/>
  <c r="AN36" i="1" a="1"/>
  <c r="AN36" i="1" s="1"/>
  <c r="U30" i="1"/>
  <c r="U48" i="1"/>
  <c r="AN2" i="1" a="1"/>
  <c r="AN2" i="1" s="1"/>
  <c r="U2" i="1"/>
  <c r="U20" i="1"/>
  <c r="AN50" i="1" a="1"/>
  <c r="AN50" i="1" s="1"/>
  <c r="AN44" i="1" a="1"/>
  <c r="AN44" i="1" s="1"/>
  <c r="AN38" i="1" a="1"/>
  <c r="AN38" i="1" s="1"/>
  <c r="AN32" i="1" a="1"/>
  <c r="AN32" i="1" s="1"/>
  <c r="AN26" i="1" a="1"/>
  <c r="AN26" i="1" s="1"/>
  <c r="AN14" i="1" a="1"/>
  <c r="AN14" i="1" s="1"/>
  <c r="AN8" i="1" a="1"/>
  <c r="AN8" i="1" s="1"/>
  <c r="U43" i="1"/>
  <c r="AN49" i="1" a="1"/>
  <c r="AN49" i="1" s="1"/>
  <c r="AN37" i="1" a="1"/>
  <c r="AN37" i="1" s="1"/>
  <c r="AN31" i="1" a="1"/>
  <c r="AN31" i="1" s="1"/>
  <c r="AN25" i="1" a="1"/>
  <c r="AN25" i="1" s="1"/>
  <c r="AN19" i="1" a="1"/>
  <c r="AN19" i="1" s="1"/>
  <c r="AN13" i="1" a="1"/>
  <c r="AN13" i="1" s="1"/>
  <c r="AN7" i="1" a="1"/>
  <c r="AN7" i="1" s="1"/>
  <c r="U12" i="1" l="1"/>
  <c r="AN9" i="1" a="1"/>
  <c r="AN9" i="1" s="1"/>
  <c r="AN11" i="1" a="1"/>
  <c r="AN11" i="1" s="1"/>
  <c r="AT11" i="1"/>
  <c r="AN6" i="1" a="1"/>
  <c r="AN6" i="1" s="1"/>
  <c r="AK2" i="1"/>
  <c r="AK14" i="1"/>
  <c r="AK10" i="1"/>
  <c r="AK15" i="1"/>
  <c r="AK21" i="1"/>
  <c r="AK11" i="1"/>
  <c r="AK18" i="1"/>
  <c r="AK46" i="1"/>
  <c r="AK27" i="1"/>
  <c r="AK42" i="1"/>
  <c r="AK33" i="1"/>
  <c r="AK49" i="1"/>
  <c r="AK24" i="1"/>
  <c r="AK51" i="1"/>
  <c r="AK26" i="1"/>
  <c r="AK48" i="1"/>
  <c r="AK43" i="1"/>
  <c r="AK23" i="1"/>
  <c r="AK22" i="1"/>
  <c r="AK20" i="1"/>
  <c r="AK17" i="1"/>
  <c r="AK29" i="1"/>
  <c r="AK7" i="1"/>
  <c r="AK38" i="1"/>
  <c r="AK28" i="1"/>
  <c r="AK35" i="1"/>
  <c r="AK13" i="1"/>
  <c r="AK32" i="1"/>
  <c r="AK39" i="1"/>
  <c r="AK41" i="1"/>
  <c r="AK25" i="1"/>
  <c r="AK50" i="1"/>
  <c r="AK34" i="1"/>
  <c r="AK47" i="1"/>
  <c r="AK19" i="1"/>
  <c r="AK44" i="1"/>
  <c r="AK9" i="1"/>
  <c r="AK45" i="1"/>
  <c r="AK12" i="1"/>
  <c r="AK37" i="1"/>
  <c r="AK4" i="1"/>
  <c r="AK40" i="1"/>
  <c r="AK6" i="1"/>
  <c r="AK31" i="1"/>
  <c r="AK3" i="1"/>
  <c r="AK30" i="1"/>
  <c r="AK8" i="1"/>
  <c r="AK16" i="1"/>
  <c r="AK5" i="1"/>
  <c r="AK36" i="1"/>
  <c r="CF8" i="1" l="1"/>
  <c r="CF5" i="1"/>
  <c r="CF7" i="1"/>
  <c r="CF6" i="1"/>
  <c r="CF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<sst xmlns="http://schemas.openxmlformats.org/spreadsheetml/2006/main" count="1048" uniqueCount="553">
  <si>
    <t>Order ID</t>
  </si>
  <si>
    <t>Customer Name</t>
  </si>
  <si>
    <t>Region</t>
  </si>
  <si>
    <t>Product Category</t>
  </si>
  <si>
    <t>Product Name</t>
  </si>
  <si>
    <t>Sales</t>
  </si>
  <si>
    <t>Quantity</t>
  </si>
  <si>
    <t>Discount</t>
  </si>
  <si>
    <t>Profit</t>
  </si>
  <si>
    <t>Order Date</t>
  </si>
  <si>
    <t>Alice Smith</t>
  </si>
  <si>
    <t>East</t>
  </si>
  <si>
    <t>Furniture</t>
  </si>
  <si>
    <t>Chair</t>
  </si>
  <si>
    <t>Bob Johnson</t>
  </si>
  <si>
    <t>West</t>
  </si>
  <si>
    <t>Office Supplies</t>
  </si>
  <si>
    <t>Stapler</t>
  </si>
  <si>
    <t>Carol Lee</t>
  </si>
  <si>
    <t>South</t>
  </si>
  <si>
    <t>Technology</t>
  </si>
  <si>
    <t>Laptop</t>
  </si>
  <si>
    <t>David Brown</t>
  </si>
  <si>
    <t>North</t>
  </si>
  <si>
    <t>Desk</t>
  </si>
  <si>
    <t>Eva Green</t>
  </si>
  <si>
    <t>Pen Set</t>
  </si>
  <si>
    <t>Frank White</t>
  </si>
  <si>
    <t>Mouse</t>
  </si>
  <si>
    <t>Grace Hall</t>
  </si>
  <si>
    <t>Cabinet</t>
  </si>
  <si>
    <t>Henry King</t>
  </si>
  <si>
    <t>Notebook</t>
  </si>
  <si>
    <t>Ivy Scott</t>
  </si>
  <si>
    <t>Printer</t>
  </si>
  <si>
    <t>Jack Turner</t>
  </si>
  <si>
    <t>Sofa</t>
  </si>
  <si>
    <t>Karen Young</t>
  </si>
  <si>
    <t>Paper Pack</t>
  </si>
  <si>
    <t>Liam Adams</t>
  </si>
  <si>
    <t>Keyboard</t>
  </si>
  <si>
    <t>Mia Roberts</t>
  </si>
  <si>
    <t>Bookcase</t>
  </si>
  <si>
    <t>Noah Baker</t>
  </si>
  <si>
    <t>Marker Set</t>
  </si>
  <si>
    <t>Olivia Lewis</t>
  </si>
  <si>
    <t>Monitor</t>
  </si>
  <si>
    <t>Paul Walker</t>
  </si>
  <si>
    <t>Table</t>
  </si>
  <si>
    <t>Quinn Hall</t>
  </si>
  <si>
    <t>Envelope Pack</t>
  </si>
  <si>
    <t>Rachel King</t>
  </si>
  <si>
    <t>Webcam</t>
  </si>
  <si>
    <t>Steve Clark</t>
  </si>
  <si>
    <t>Recliner</t>
  </si>
  <si>
    <t>Tina Hall</t>
  </si>
  <si>
    <t>File Folder</t>
  </si>
  <si>
    <t>Uma Scott</t>
  </si>
  <si>
    <t>Headphones</t>
  </si>
  <si>
    <t>Victor Adams</t>
  </si>
  <si>
    <t>Wardrobe</t>
  </si>
  <si>
    <t>Wendy Brown</t>
  </si>
  <si>
    <t>Calculator</t>
  </si>
  <si>
    <t>Xavier Green</t>
  </si>
  <si>
    <t>Router</t>
  </si>
  <si>
    <t>Yara White</t>
  </si>
  <si>
    <t>Stool</t>
  </si>
  <si>
    <t>Zachary Hall</t>
  </si>
  <si>
    <t>Binder</t>
  </si>
  <si>
    <t>Amy Turner</t>
  </si>
  <si>
    <t>Tablet</t>
  </si>
  <si>
    <t>Brian Young</t>
  </si>
  <si>
    <t>Couch</t>
  </si>
  <si>
    <t>Chloe Roberts</t>
  </si>
  <si>
    <t>Sticky Notes</t>
  </si>
  <si>
    <t>Daniel Lewis</t>
  </si>
  <si>
    <t>External HDD</t>
  </si>
  <si>
    <t>Ella Adams</t>
  </si>
  <si>
    <t>Finn Clark</t>
  </si>
  <si>
    <t>Tape</t>
  </si>
  <si>
    <t>Gina Baker</t>
  </si>
  <si>
    <t>Smartwatch</t>
  </si>
  <si>
    <t>Harry King</t>
  </si>
  <si>
    <t>Bed Frame</t>
  </si>
  <si>
    <t>Isla Hall</t>
  </si>
  <si>
    <t>Printer Paper</t>
  </si>
  <si>
    <t>Jake Turner</t>
  </si>
  <si>
    <t>Projector</t>
  </si>
  <si>
    <t>Kara Adams</t>
  </si>
  <si>
    <t>Shelf</t>
  </si>
  <si>
    <t>Leo Brown</t>
  </si>
  <si>
    <t>Clip Set</t>
  </si>
  <si>
    <t>Maya Scott</t>
  </si>
  <si>
    <t>Nick White</t>
  </si>
  <si>
    <t>Olivia Hall</t>
  </si>
  <si>
    <t>Peter Turner</t>
  </si>
  <si>
    <t>Quinn Young</t>
  </si>
  <si>
    <t>Rachel Adams</t>
  </si>
  <si>
    <t>Steve Roberts</t>
  </si>
  <si>
    <t>Tina Lewis</t>
  </si>
  <si>
    <t>Uma Baker</t>
  </si>
  <si>
    <t>Victor Hall</t>
  </si>
  <si>
    <t>Wendy King</t>
  </si>
  <si>
    <t>Xavier Young</t>
  </si>
  <si>
    <t>Profit Margin (%)</t>
  </si>
  <si>
    <t>Order Month</t>
  </si>
  <si>
    <t>Order Weekday</t>
  </si>
  <si>
    <t>Customer Segment</t>
  </si>
  <si>
    <t>Delivery Status</t>
  </si>
  <si>
    <t>Discount Amount</t>
  </si>
  <si>
    <t>Total Sales</t>
  </si>
  <si>
    <t>Product Code</t>
  </si>
  <si>
    <t>Delivery Date</t>
  </si>
  <si>
    <t>January</t>
  </si>
  <si>
    <t>Sunday</t>
  </si>
  <si>
    <t>F001</t>
  </si>
  <si>
    <t>New</t>
  </si>
  <si>
    <t>Tuesday</t>
  </si>
  <si>
    <t>OS001</t>
  </si>
  <si>
    <t>Thursday</t>
  </si>
  <si>
    <t>T001</t>
  </si>
  <si>
    <t>VIP</t>
  </si>
  <si>
    <t>Saturday</t>
  </si>
  <si>
    <t>Regular</t>
  </si>
  <si>
    <t>Monday</t>
  </si>
  <si>
    <t>Wednesday</t>
  </si>
  <si>
    <t>Friday</t>
  </si>
  <si>
    <t>February</t>
  </si>
  <si>
    <t>✅ Excel Interview Questions (Basic → Advanced) – Total 50 Questions</t>
  </si>
  <si>
    <t>🔹 BASIC LEVEL (1–10)</t>
  </si>
  <si>
    <r>
      <t xml:space="preserve">1. Excel me </t>
    </r>
    <r>
      <rPr>
        <b/>
        <sz val="11"/>
        <color theme="1"/>
        <rFont val="Aptos Narrow"/>
        <family val="2"/>
        <scheme val="minor"/>
      </rPr>
      <t>Cell, Row, Column, Range</t>
    </r>
    <r>
      <rPr>
        <sz val="11"/>
        <color theme="1"/>
        <rFont val="Aptos Narrow"/>
        <family val="2"/>
        <scheme val="minor"/>
      </rPr>
      <t xml:space="preserve"> kya hota hai?</t>
    </r>
  </si>
  <si>
    <r>
      <t>2. AutoFill</t>
    </r>
    <r>
      <rPr>
        <sz val="11"/>
        <color theme="1"/>
        <rFont val="Aptos Narrow"/>
        <family val="2"/>
        <scheme val="minor"/>
      </rPr>
      <t xml:space="preserve"> ka use kahan hota hai?</t>
    </r>
  </si>
  <si>
    <r>
      <t xml:space="preserve">3. Excel me </t>
    </r>
    <r>
      <rPr>
        <b/>
        <sz val="11"/>
        <color theme="1"/>
        <rFont val="Aptos Narrow"/>
        <family val="2"/>
        <scheme val="minor"/>
      </rPr>
      <t>absolute &amp; relative reference</t>
    </r>
    <r>
      <rPr>
        <sz val="11"/>
        <color theme="1"/>
        <rFont val="Aptos Narrow"/>
        <family val="2"/>
        <scheme val="minor"/>
      </rPr>
      <t xml:space="preserve"> kya hota hai? (</t>
    </r>
    <r>
      <rPr>
        <sz val="10"/>
        <color theme="1"/>
        <rFont val="Arial Unicode MS"/>
      </rPr>
      <t>$A$1</t>
    </r>
    <r>
      <rPr>
        <sz val="11"/>
        <color theme="1"/>
        <rFont val="Aptos Narrow"/>
        <family val="2"/>
        <scheme val="minor"/>
      </rPr>
      <t xml:space="preserve"> vs </t>
    </r>
    <r>
      <rPr>
        <sz val="10"/>
        <color theme="1"/>
        <rFont val="Arial Unicode MS"/>
      </rPr>
      <t>A1</t>
    </r>
    <r>
      <rPr>
        <sz val="11"/>
        <color theme="1"/>
        <rFont val="Aptos Narrow"/>
        <family val="2"/>
        <scheme val="minor"/>
      </rPr>
      <t>)</t>
    </r>
  </si>
  <si>
    <r>
      <t>4. SUM, AVERAGE, MIN, MAX</t>
    </r>
    <r>
      <rPr>
        <sz val="11"/>
        <color theme="1"/>
        <rFont val="Aptos Narrow"/>
        <family val="2"/>
        <scheme val="minor"/>
      </rPr>
      <t xml:space="preserve"> ka use karke total/average kaise nikaalte hai?</t>
    </r>
  </si>
  <si>
    <r>
      <t>5. Sorting vs Filtering</t>
    </r>
    <r>
      <rPr>
        <sz val="11"/>
        <color theme="1"/>
        <rFont val="Aptos Narrow"/>
        <family val="2"/>
        <scheme val="minor"/>
      </rPr>
      <t xml:space="preserve"> me kya difference hai?</t>
    </r>
  </si>
  <si>
    <r>
      <t>6. Wrap Text</t>
    </r>
    <r>
      <rPr>
        <sz val="11"/>
        <color theme="1"/>
        <rFont val="Aptos Narrow"/>
        <family val="2"/>
        <scheme val="minor"/>
      </rPr>
      <t xml:space="preserve"> aur </t>
    </r>
    <r>
      <rPr>
        <b/>
        <sz val="11"/>
        <color theme="1"/>
        <rFont val="Aptos Narrow"/>
        <family val="2"/>
        <scheme val="minor"/>
      </rPr>
      <t>Merge &amp; Center</t>
    </r>
    <r>
      <rPr>
        <sz val="11"/>
        <color theme="1"/>
        <rFont val="Aptos Narrow"/>
        <family val="2"/>
        <scheme val="minor"/>
      </rPr>
      <t xml:space="preserve"> ka use kahan hota hai?</t>
    </r>
  </si>
  <si>
    <r>
      <t>7. Data Types</t>
    </r>
    <r>
      <rPr>
        <sz val="11"/>
        <color theme="1"/>
        <rFont val="Aptos Narrow"/>
        <family val="2"/>
        <scheme val="minor"/>
      </rPr>
      <t xml:space="preserve"> (Text, Number, Date, Logical) kya hote hain?</t>
    </r>
  </si>
  <si>
    <r>
      <t>8. Freeze Panes</t>
    </r>
    <r>
      <rPr>
        <sz val="11"/>
        <color theme="1"/>
        <rFont val="Aptos Narrow"/>
        <family val="2"/>
        <scheme val="minor"/>
      </rPr>
      <t xml:space="preserve"> ka use kisliye hota hai?</t>
    </r>
  </si>
  <si>
    <r>
      <t xml:space="preserve">9. Excel me </t>
    </r>
    <r>
      <rPr>
        <b/>
        <sz val="11"/>
        <color theme="1"/>
        <rFont val="Aptos Narrow"/>
        <family val="2"/>
        <scheme val="minor"/>
      </rPr>
      <t>shortcut keys</t>
    </r>
    <r>
      <rPr>
        <sz val="11"/>
        <color theme="1"/>
        <rFont val="Aptos Narrow"/>
        <family val="2"/>
        <scheme val="minor"/>
      </rPr>
      <t xml:space="preserve"> — AutoSum, Copy, Paste, Insert Row?</t>
    </r>
  </si>
  <si>
    <r>
      <t>10. Tables</t>
    </r>
    <r>
      <rPr>
        <sz val="11"/>
        <color theme="1"/>
        <rFont val="Aptos Narrow"/>
        <family val="2"/>
        <scheme val="minor"/>
      </rPr>
      <t xml:space="preserve"> (Ctrl + T) ka use kya hota hai aur kyun important hote hain?</t>
    </r>
  </si>
  <si>
    <t>🔹 INTERMEDIATE LEVEL (11–25)</t>
  </si>
  <si>
    <r>
      <t>11. COUNT, COUNTA, COUNTBLANK</t>
    </r>
    <r>
      <rPr>
        <sz val="11"/>
        <color theme="1"/>
        <rFont val="Aptos Narrow"/>
        <family val="2"/>
        <scheme val="minor"/>
      </rPr>
      <t xml:space="preserve"> me difference samjhao.</t>
    </r>
  </si>
  <si>
    <r>
      <t>12. IF function</t>
    </r>
    <r>
      <rPr>
        <sz val="11"/>
        <color theme="1"/>
        <rFont val="Aptos Narrow"/>
        <family val="2"/>
        <scheme val="minor"/>
      </rPr>
      <t xml:space="preserve"> ka basic example do:</t>
    </r>
  </si>
  <si>
    <t>Agar marks &gt; 40 ho to "Pass" else "Fail".</t>
  </si>
  <si>
    <r>
      <t>13. Nested IF</t>
    </r>
    <r>
      <rPr>
        <sz val="11"/>
        <color theme="1"/>
        <rFont val="Aptos Narrow"/>
        <family val="2"/>
        <scheme val="minor"/>
      </rPr>
      <t xml:space="preserve"> ka example: Grade calculation (A/B/C/D).</t>
    </r>
  </si>
  <si>
    <r>
      <t>14. AND / OR</t>
    </r>
    <r>
      <rPr>
        <sz val="11"/>
        <color theme="1"/>
        <rFont val="Aptos Narrow"/>
        <family val="2"/>
        <scheme val="minor"/>
      </rPr>
      <t xml:space="preserve"> function ka real-life example (attendance + marks).</t>
    </r>
  </si>
  <si>
    <r>
      <t>15. SUMIF</t>
    </r>
    <r>
      <rPr>
        <sz val="11"/>
        <color theme="1"/>
        <rFont val="Aptos Narrow"/>
        <family val="2"/>
        <scheme val="minor"/>
      </rPr>
      <t xml:space="preserve"> aur </t>
    </r>
    <r>
      <rPr>
        <b/>
        <sz val="11"/>
        <color theme="1"/>
        <rFont val="Aptos Narrow"/>
        <family val="2"/>
        <scheme val="minor"/>
      </rPr>
      <t>SUMIFS</t>
    </r>
    <r>
      <rPr>
        <sz val="11"/>
        <color theme="1"/>
        <rFont val="Aptos Narrow"/>
        <family val="2"/>
        <scheme val="minor"/>
      </rPr>
      <t xml:space="preserve"> ka difference with example.</t>
    </r>
  </si>
  <si>
    <r>
      <t>16. COUNTIF</t>
    </r>
    <r>
      <rPr>
        <sz val="11"/>
        <color theme="1"/>
        <rFont val="Aptos Narrow"/>
        <family val="2"/>
        <scheme val="minor"/>
      </rPr>
      <t xml:space="preserve"> aur </t>
    </r>
    <r>
      <rPr>
        <b/>
        <sz val="11"/>
        <color theme="1"/>
        <rFont val="Aptos Narrow"/>
        <family val="2"/>
        <scheme val="minor"/>
      </rPr>
      <t>COUNTIFS</t>
    </r>
    <r>
      <rPr>
        <sz val="11"/>
        <color theme="1"/>
        <rFont val="Aptos Narrow"/>
        <family val="2"/>
        <scheme val="minor"/>
      </rPr>
      <t xml:space="preserve"> ka example.</t>
    </r>
  </si>
  <si>
    <r>
      <t>17. AVERAGEIF</t>
    </r>
    <r>
      <rPr>
        <sz val="11"/>
        <color theme="1"/>
        <rFont val="Aptos Narrow"/>
        <family val="2"/>
        <scheme val="minor"/>
      </rPr>
      <t xml:space="preserve"> aur </t>
    </r>
    <r>
      <rPr>
        <b/>
        <sz val="11"/>
        <color theme="1"/>
        <rFont val="Aptos Narrow"/>
        <family val="2"/>
        <scheme val="minor"/>
      </rPr>
      <t>AVERAGEIFS</t>
    </r>
    <r>
      <rPr>
        <sz val="11"/>
        <color theme="1"/>
        <rFont val="Aptos Narrow"/>
        <family val="2"/>
        <scheme val="minor"/>
      </rPr>
      <t xml:space="preserve"> ka practical use.</t>
    </r>
  </si>
  <si>
    <r>
      <t>18. Conditional Formatting</t>
    </r>
    <r>
      <rPr>
        <sz val="11"/>
        <color theme="1"/>
        <rFont val="Aptos Narrow"/>
        <family val="2"/>
        <scheme val="minor"/>
      </rPr>
      <t xml:space="preserve"> me color scale kab use hota hai?</t>
    </r>
  </si>
  <si>
    <r>
      <t>19. Remove Duplicates</t>
    </r>
    <r>
      <rPr>
        <sz val="11"/>
        <color theme="1"/>
        <rFont val="Aptos Narrow"/>
        <family val="2"/>
        <scheme val="minor"/>
      </rPr>
      <t xml:space="preserve"> ka use?</t>
    </r>
  </si>
  <si>
    <r>
      <t>20. Data Validation</t>
    </r>
    <r>
      <rPr>
        <sz val="11"/>
        <color theme="1"/>
        <rFont val="Aptos Narrow"/>
        <family val="2"/>
        <scheme val="minor"/>
      </rPr>
      <t xml:space="preserve"> — drop-down list kaise banate hai?</t>
    </r>
  </si>
  <si>
    <r>
      <t>21. Text to Columns</t>
    </r>
    <r>
      <rPr>
        <sz val="11"/>
        <color theme="1"/>
        <rFont val="Aptos Narrow"/>
        <family val="2"/>
        <scheme val="minor"/>
      </rPr>
      <t xml:space="preserve"> kab use hota hai?</t>
    </r>
  </si>
  <si>
    <r>
      <t>22. LEFT, RIGHT, MID</t>
    </r>
    <r>
      <rPr>
        <sz val="11"/>
        <color theme="1"/>
        <rFont val="Aptos Narrow"/>
        <family val="2"/>
        <scheme val="minor"/>
      </rPr>
      <t xml:space="preserve"> function ka real use?</t>
    </r>
  </si>
  <si>
    <r>
      <t>23. CONCAT / TEXTJOIN</t>
    </r>
    <r>
      <rPr>
        <sz val="11"/>
        <color theme="1"/>
        <rFont val="Aptos Narrow"/>
        <family val="2"/>
        <scheme val="minor"/>
      </rPr>
      <t xml:space="preserve"> ka kya use hai?</t>
    </r>
  </si>
  <si>
    <r>
      <t>24. TRIM function</t>
    </r>
    <r>
      <rPr>
        <sz val="11"/>
        <color theme="1"/>
        <rFont val="Aptos Narrow"/>
        <family val="2"/>
        <scheme val="minor"/>
      </rPr>
      <t xml:space="preserve"> text clean kaise karta hai?</t>
    </r>
  </si>
  <si>
    <r>
      <t>25. ROUND, ROUNDUP, ROUNDDOWN</t>
    </r>
    <r>
      <rPr>
        <sz val="11"/>
        <color theme="1"/>
        <rFont val="Aptos Narrow"/>
        <family val="2"/>
        <scheme val="minor"/>
      </rPr>
      <t xml:space="preserve"> ka real example.</t>
    </r>
  </si>
  <si>
    <t>🔹 LOOKUP FUNCTIONS (26–33)</t>
  </si>
  <si>
    <r>
      <t>26. VLOOKUP</t>
    </r>
    <r>
      <rPr>
        <sz val="11"/>
        <color theme="1"/>
        <rFont val="Aptos Narrow"/>
        <family val="2"/>
        <scheme val="minor"/>
      </rPr>
      <t xml:space="preserve"> ka basic formula example.</t>
    </r>
  </si>
  <si>
    <r>
      <t xml:space="preserve">27. VLOOKUP me </t>
    </r>
    <r>
      <rPr>
        <b/>
        <sz val="11"/>
        <color theme="1"/>
        <rFont val="Aptos Narrow"/>
        <family val="2"/>
        <scheme val="minor"/>
      </rPr>
      <t>approximate match vs exact match</t>
    </r>
    <r>
      <rPr>
        <sz val="11"/>
        <color theme="1"/>
        <rFont val="Aptos Narrow"/>
        <family val="2"/>
        <scheme val="minor"/>
      </rPr>
      <t xml:space="preserve"> kya hota hai?</t>
    </r>
  </si>
  <si>
    <r>
      <t xml:space="preserve">28. VLOOKUP ki </t>
    </r>
    <r>
      <rPr>
        <b/>
        <sz val="11"/>
        <color theme="1"/>
        <rFont val="Aptos Narrow"/>
        <family val="2"/>
        <scheme val="minor"/>
      </rPr>
      <t>limitations</t>
    </r>
    <r>
      <rPr>
        <sz val="11"/>
        <color theme="1"/>
        <rFont val="Aptos Narrow"/>
        <family val="2"/>
        <scheme val="minor"/>
      </rPr>
      <t xml:space="preserve"> kya hain?</t>
    </r>
  </si>
  <si>
    <r>
      <t>29. HLOOKUP</t>
    </r>
    <r>
      <rPr>
        <sz val="11"/>
        <color theme="1"/>
        <rFont val="Aptos Narrow"/>
        <family val="2"/>
        <scheme val="minor"/>
      </rPr>
      <t xml:space="preserve"> ka example.</t>
    </r>
  </si>
  <si>
    <r>
      <t>30. XLOOKUP</t>
    </r>
    <r>
      <rPr>
        <sz val="11"/>
        <color theme="1"/>
        <rFont val="Aptos Narrow"/>
        <family val="2"/>
        <scheme val="minor"/>
      </rPr>
      <t xml:space="preserve"> kyun best mana jata hai?</t>
    </r>
  </si>
  <si>
    <r>
      <t>31. INDEX + MATCH</t>
    </r>
    <r>
      <rPr>
        <sz val="11"/>
        <color theme="1"/>
        <rFont val="Aptos Narrow"/>
        <family val="2"/>
        <scheme val="minor"/>
      </rPr>
      <t xml:space="preserve"> ka best real example.</t>
    </r>
  </si>
  <si>
    <t>32. INDEX/MATCH kahan VLOOKUP se better hota hai?</t>
  </si>
  <si>
    <r>
      <t xml:space="preserve">33. XLOOKUP me </t>
    </r>
    <r>
      <rPr>
        <b/>
        <sz val="11"/>
        <color theme="1"/>
        <rFont val="Aptos Narrow"/>
        <family val="2"/>
        <scheme val="minor"/>
      </rPr>
      <t>search mode (1, -1)</t>
    </r>
    <r>
      <rPr>
        <sz val="11"/>
        <color theme="1"/>
        <rFont val="Aptos Narrow"/>
        <family val="2"/>
        <scheme val="minor"/>
      </rPr>
      <t xml:space="preserve"> kya hota hai?</t>
    </r>
  </si>
  <si>
    <t>🔹 DATE FUNCTIONS (34–38)</t>
  </si>
  <si>
    <r>
      <t>34. TODAY()</t>
    </r>
    <r>
      <rPr>
        <sz val="11"/>
        <color theme="1"/>
        <rFont val="Aptos Narrow"/>
        <family val="2"/>
        <scheme val="minor"/>
      </rPr>
      <t xml:space="preserve"> aur </t>
    </r>
    <r>
      <rPr>
        <b/>
        <sz val="11"/>
        <color theme="1"/>
        <rFont val="Aptos Narrow"/>
        <family val="2"/>
        <scheme val="minor"/>
      </rPr>
      <t>NOW()</t>
    </r>
    <r>
      <rPr>
        <sz val="11"/>
        <color theme="1"/>
        <rFont val="Aptos Narrow"/>
        <family val="2"/>
        <scheme val="minor"/>
      </rPr>
      <t xml:space="preserve"> me difference.</t>
    </r>
  </si>
  <si>
    <r>
      <t>35. DATEDIF</t>
    </r>
    <r>
      <rPr>
        <sz val="11"/>
        <color theme="1"/>
        <rFont val="Aptos Narrow"/>
        <family val="2"/>
        <scheme val="minor"/>
      </rPr>
      <t xml:space="preserve"> ka use — age calculation.</t>
    </r>
  </si>
  <si>
    <r>
      <t>36. EDATE</t>
    </r>
    <r>
      <rPr>
        <sz val="11"/>
        <color theme="1"/>
        <rFont val="Aptos Narrow"/>
        <family val="2"/>
        <scheme val="minor"/>
      </rPr>
      <t xml:space="preserve"> ka use — EMI date calculation.</t>
    </r>
  </si>
  <si>
    <r>
      <t>37. NETWORKDAYS</t>
    </r>
    <r>
      <rPr>
        <sz val="11"/>
        <color theme="1"/>
        <rFont val="Aptos Narrow"/>
        <family val="2"/>
        <scheme val="minor"/>
      </rPr>
      <t xml:space="preserve"> se working days kaise nikalte hai?</t>
    </r>
  </si>
  <si>
    <r>
      <t>38. DAY, MONTH, YEAR</t>
    </r>
    <r>
      <rPr>
        <sz val="11"/>
        <color theme="1"/>
        <rFont val="Aptos Narrow"/>
        <family val="2"/>
        <scheme val="minor"/>
      </rPr>
      <t xml:space="preserve"> ka basic use.</t>
    </r>
  </si>
  <si>
    <t>🔹 ADVANCED LEVEL (39–45)</t>
  </si>
  <si>
    <r>
      <t>39. Pivot Table</t>
    </r>
    <r>
      <rPr>
        <sz val="11"/>
        <color theme="1"/>
        <rFont val="Aptos Narrow"/>
        <family val="2"/>
        <scheme val="minor"/>
      </rPr>
      <t xml:space="preserve"> kya hota hai aur kab use hota hai?</t>
    </r>
  </si>
  <si>
    <r>
      <t xml:space="preserve">40. Pivot Table me </t>
    </r>
    <r>
      <rPr>
        <b/>
        <sz val="11"/>
        <color theme="1"/>
        <rFont val="Aptos Narrow"/>
        <family val="2"/>
        <scheme val="minor"/>
      </rPr>
      <t>Slicers</t>
    </r>
    <r>
      <rPr>
        <sz val="11"/>
        <color theme="1"/>
        <rFont val="Aptos Narrow"/>
        <family val="2"/>
        <scheme val="minor"/>
      </rPr>
      <t xml:space="preserve"> ka use kya hota hai?</t>
    </r>
  </si>
  <si>
    <r>
      <t>41. Pivot Chart</t>
    </r>
    <r>
      <rPr>
        <sz val="11"/>
        <color theme="1"/>
        <rFont val="Aptos Narrow"/>
        <family val="2"/>
        <scheme val="minor"/>
      </rPr>
      <t xml:space="preserve"> kya hota hai?</t>
    </r>
  </si>
  <si>
    <r>
      <t>42. Nested IF vs IFS</t>
    </r>
    <r>
      <rPr>
        <sz val="11"/>
        <color theme="1"/>
        <rFont val="Aptos Narrow"/>
        <family val="2"/>
        <scheme val="minor"/>
      </rPr>
      <t xml:space="preserve"> function — difference?</t>
    </r>
  </si>
  <si>
    <r>
      <t>43. OFFSET function</t>
    </r>
    <r>
      <rPr>
        <sz val="11"/>
        <color theme="1"/>
        <rFont val="Aptos Narrow"/>
        <family val="2"/>
        <scheme val="minor"/>
      </rPr>
      <t xml:space="preserve"> ka real use kya hai?</t>
    </r>
  </si>
  <si>
    <r>
      <t>44. Dynamic Named Ranges</t>
    </r>
    <r>
      <rPr>
        <sz val="11"/>
        <color theme="1"/>
        <rFont val="Aptos Narrow"/>
        <family val="2"/>
        <scheme val="minor"/>
      </rPr>
      <t xml:space="preserve"> kya hota hai?</t>
    </r>
  </si>
  <si>
    <r>
      <t>45. Power Query</t>
    </r>
    <r>
      <rPr>
        <sz val="11"/>
        <color theme="1"/>
        <rFont val="Aptos Narrow"/>
        <family val="2"/>
        <scheme val="minor"/>
      </rPr>
      <t xml:space="preserve"> ka basic use kya hai? (Data cleaning automation)</t>
    </r>
  </si>
  <si>
    <t>🔹 WHAT-IF ANALYSIS (46–48)</t>
  </si>
  <si>
    <r>
      <t>46. Goal Seek</t>
    </r>
    <r>
      <rPr>
        <sz val="11"/>
        <color theme="1"/>
        <rFont val="Aptos Narrow"/>
        <family val="2"/>
        <scheme val="minor"/>
      </rPr>
      <t xml:space="preserve"> ka example — profit target achieve karna ho to?</t>
    </r>
  </si>
  <si>
    <r>
      <t>47. Scenario Manager</t>
    </r>
    <r>
      <rPr>
        <sz val="11"/>
        <color theme="1"/>
        <rFont val="Aptos Narrow"/>
        <family val="2"/>
        <scheme val="minor"/>
      </rPr>
      <t xml:space="preserve"> ka real example — Low, Medium, High budget.</t>
    </r>
  </si>
  <si>
    <r>
      <t>48. Data Table (Two-variable)</t>
    </r>
    <r>
      <rPr>
        <sz val="11"/>
        <color theme="1"/>
        <rFont val="Aptos Narrow"/>
        <family val="2"/>
        <scheme val="minor"/>
      </rPr>
      <t xml:space="preserve"> ka example — EMI table (Rate vs Tenure).</t>
    </r>
  </si>
  <si>
    <t>🔹 CHARTS &amp; DASHBOARD (49)</t>
  </si>
  <si>
    <t>49. Best chart for:</t>
  </si>
  <si>
    <t>Sales Trend</t>
  </si>
  <si>
    <t>Category-wise share</t>
  </si>
  <si>
    <t>Top 10 products</t>
  </si>
  <si>
    <t>Region-wise comparison</t>
  </si>
  <si>
    <t>🔹 DATA CLEANING ADVANCE (50)</t>
  </si>
  <si>
    <t>50. Duplicate names remove karne ke 3 best methods batao:</t>
  </si>
  <si>
    <t>✅ Excel Calculation-Based Questions (Basic → Advanced) — 50 Questions</t>
  </si>
  <si>
    <t>🔹 BASIC CALCULATION QUESTIONS (1–10)</t>
  </si>
  <si>
    <t>4. Region-wise total sales calculate karo (SUMIF).</t>
  </si>
  <si>
    <t>5. Product Category-wise quantity ka SUM nikaalo (SUMIFS).</t>
  </si>
  <si>
    <t>6. Highest sales value find karo (MAX).</t>
  </si>
  <si>
    <t>7. Lowest profit value find karo (MIN).</t>
  </si>
  <si>
    <t>8. Average Discount nikaalo (AVERAGE).</t>
  </si>
  <si>
    <t>9. Total Orders count karo (COUNTA).</t>
  </si>
  <si>
    <t>10. East region ke orders count karo (COUNTIF).</t>
  </si>
  <si>
    <t>🔹 INTERMEDIATE CALCULATION QUESTIONS (11–20)</t>
  </si>
  <si>
    <t>11. Profit &gt; 1000 ho to "High Profit" else "Low Profit" (IF).</t>
  </si>
  <si>
    <r>
      <t xml:space="preserve">12. Quantity &gt; 3 </t>
    </r>
    <r>
      <rPr>
        <b/>
        <sz val="11"/>
        <color theme="1"/>
        <rFont val="Aptos Narrow"/>
        <family val="2"/>
        <scheme val="minor"/>
      </rPr>
      <t>AND</t>
    </r>
    <r>
      <rPr>
        <sz val="11"/>
        <color theme="1"/>
        <rFont val="Aptos Narrow"/>
        <family val="2"/>
        <scheme val="minor"/>
      </rPr>
      <t xml:space="preserve"> Discount &gt; 0.05 ho to “Bulk Deal” (IF + AND).</t>
    </r>
  </si>
  <si>
    <r>
      <t xml:space="preserve">13. Region “East” </t>
    </r>
    <r>
      <rPr>
        <b/>
        <sz val="11"/>
        <color theme="1"/>
        <rFont val="Aptos Narrow"/>
        <family val="2"/>
        <scheme val="minor"/>
      </rPr>
      <t>OR</t>
    </r>
    <r>
      <rPr>
        <sz val="11"/>
        <color theme="1"/>
        <rFont val="Aptos Narrow"/>
        <family val="2"/>
        <scheme val="minor"/>
      </rPr>
      <t xml:space="preserve"> “West” ho to “High Priority Region” (OR).</t>
    </r>
  </si>
  <si>
    <t>14. Product Name me se first 5 characters nikalo (LEFT).</t>
  </si>
  <si>
    <t>15. Order Date me se Month nikaalo (MONTH).</t>
  </si>
  <si>
    <t>16. Customer Name ko “Last name, First name” me convert karo (TEXT functions).</t>
  </si>
  <si>
    <t>17. Sales column ke blank cells count karo (COUNTBLANK).</t>
  </si>
  <si>
    <t>18. Sales ko nearest 10 round karo (ROUND).</t>
  </si>
  <si>
    <t>19. Date difference nikaalo (Order Date se 10 din pehle ki date) → (EDATE / TODAY).</t>
  </si>
  <si>
    <t>20. Discount percentage ko text me convert karo “10%” (TEXT function).</t>
  </si>
  <si>
    <t>🔹 LOOKUP FUNCTION QUESTIONS (21–30)</t>
  </si>
  <si>
    <r>
      <t xml:space="preserve">21. Kisi specific Order ID ka </t>
    </r>
    <r>
      <rPr>
        <b/>
        <sz val="11"/>
        <color theme="1"/>
        <rFont val="Aptos Narrow"/>
        <family val="2"/>
        <scheme val="minor"/>
      </rPr>
      <t>Customer Name</t>
    </r>
    <r>
      <rPr>
        <sz val="11"/>
        <color theme="1"/>
        <rFont val="Aptos Narrow"/>
        <family val="2"/>
        <scheme val="minor"/>
      </rPr>
      <t xml:space="preserve"> VLOOKUP se nikaalo.</t>
    </r>
  </si>
  <si>
    <r>
      <t xml:space="preserve">22. Order ID se </t>
    </r>
    <r>
      <rPr>
        <b/>
        <sz val="11"/>
        <color theme="1"/>
        <rFont val="Aptos Narrow"/>
        <family val="2"/>
        <scheme val="minor"/>
      </rPr>
      <t>Product Category</t>
    </r>
    <r>
      <rPr>
        <sz val="11"/>
        <color theme="1"/>
        <rFont val="Aptos Narrow"/>
        <family val="2"/>
        <scheme val="minor"/>
      </rPr>
      <t xml:space="preserve"> lookup karo.</t>
    </r>
  </si>
  <si>
    <r>
      <t xml:space="preserve">23. VLOOKUP ka use kar ke </t>
    </r>
    <r>
      <rPr>
        <b/>
        <sz val="11"/>
        <color theme="1"/>
        <rFont val="Aptos Narrow"/>
        <family val="2"/>
        <scheme val="minor"/>
      </rPr>
      <t>Profit</t>
    </r>
    <r>
      <rPr>
        <sz val="11"/>
        <color theme="1"/>
        <rFont val="Aptos Narrow"/>
        <family val="2"/>
        <scheme val="minor"/>
      </rPr>
      <t xml:space="preserve"> find karo.</t>
    </r>
  </si>
  <si>
    <t>24. Region find karo INDEX + MATCH se.</t>
  </si>
  <si>
    <t>25. XLOOKUP ka use kar ke Product Name return karo.</t>
  </si>
  <si>
    <t>26. XLOOKUP laga kar previous/next match find karo (search mode = -1).</t>
  </si>
  <si>
    <t>27. Agar Order ID exist nahi karta ho to result = “Not Found” show karo (XLOOKUP with IFNA).</t>
  </si>
  <si>
    <t>28. INDEX + MATCH laga kar Quantity find karo.</t>
  </si>
  <si>
    <t>29. HLOOKUP ka use kar ke header row se value nikaalo (small dataset par).</t>
  </si>
  <si>
    <t>30. MATCH function se “Technology” kis row number par hai, find karo.</t>
  </si>
  <si>
    <t>🔹 DATE FUNCTION QUESTIONS (31–38)</t>
  </si>
  <si>
    <t>31. Age nikaalo (DATEDIF — years).</t>
  </si>
  <si>
    <t>32. Order Date me se week number nikaalo (WEEKNUM).</t>
  </si>
  <si>
    <t>33. 10 days add karke Delivery Date calculate karo (Order Date + 10).</t>
  </si>
  <si>
    <t>34. Working days nikaalo (NETWORKDAYS).</t>
  </si>
  <si>
    <t>35. Order kis weekday ko place hua tha? (WEEKDAY).</t>
  </si>
  <si>
    <t>36. Month-wise Sales summary banao (MONTH + SUMIFS).</t>
  </si>
  <si>
    <t>37. Year extract karo (YEAR).</t>
  </si>
  <si>
    <t>38. Today ki date compare karo order date se → “Old Order” ya “New Order”.</t>
  </si>
  <si>
    <t>🔹 ADVANCED FORMULA QUESTIONS (39–46)</t>
  </si>
  <si>
    <t>39. Sales ranking karo (RANK).</t>
  </si>
  <si>
    <t>40. Top 5 products identify karo using LARGE function.</t>
  </si>
  <si>
    <t>41. Running Total banao (SUM absolute reference with row).</t>
  </si>
  <si>
    <t>42. Dynamic range banao OFFSET function ke saath.</t>
  </si>
  <si>
    <r>
      <t xml:space="preserve">43. Total Sales ka </t>
    </r>
    <r>
      <rPr>
        <b/>
        <sz val="11"/>
        <color theme="1"/>
        <rFont val="Aptos Narrow"/>
        <family val="2"/>
        <scheme val="minor"/>
      </rPr>
      <t>Moving Average (3 days)</t>
    </r>
    <r>
      <rPr>
        <sz val="11"/>
        <color theme="1"/>
        <rFont val="Aptos Narrow"/>
        <family val="2"/>
        <scheme val="minor"/>
      </rPr>
      <t xml:space="preserve"> nikaalo.</t>
    </r>
  </si>
  <si>
    <t>44. IFS function laga kar grading karo:</t>
  </si>
  <si>
    <t>Profit &gt; 5000 → A</t>
  </si>
  <si>
    <t>Profit &gt; 2000 → B</t>
  </si>
  <si>
    <t>Profit &gt; 500 → C</t>
  </si>
  <si>
    <t>Else → D</t>
  </si>
  <si>
    <t>45. SUMPRODUCT ka use kar ke:</t>
  </si>
  <si>
    <t>Total Sales of “Technology” category nikaalo.</t>
  </si>
  <si>
    <t>46. Duplicate customers identify karo (COUNTIF &gt; 1).</t>
  </si>
  <si>
    <t>🔹 WHAT-IF ANALYSIS QUESTIONS (47–48)</t>
  </si>
  <si>
    <t>47. Goal Seek use karo:</t>
  </si>
  <si>
    <t>Profit = 5000 achieve karna hai → Sales ya Discount badal ke.</t>
  </si>
  <si>
    <t>48. Data Table use karo:</t>
  </si>
  <si>
    <t>EMI calculate karo (Rate change vs Tenure change).</t>
  </si>
  <si>
    <t>(Two-variable Data Table)</t>
  </si>
  <si>
    <t>🔹 PIVOT TABLE BASED QUESTIONS (49)</t>
  </si>
  <si>
    <t>49. Pivot Table me:</t>
  </si>
  <si>
    <t>Region-wise total sales</t>
  </si>
  <si>
    <t>Category-wise profit</t>
  </si>
  <si>
    <t>Top 5 Products</t>
  </si>
  <si>
    <t>Month-wise sales trend</t>
  </si>
  <si>
    <t>🔹 DASHBOARD / VISUAL QUESTIONS (50)</t>
  </si>
  <si>
    <t>50. Dashboard banao jisme:</t>
  </si>
  <si>
    <t>Region-wise sales bar chart</t>
  </si>
  <si>
    <t>Category-wise profit pie chart</t>
  </si>
  <si>
    <t>Monthly sales trend line chart</t>
  </si>
  <si>
    <t>Slicer for Region &amp; Category</t>
  </si>
  <si>
    <t>Delivered</t>
  </si>
  <si>
    <t>Delayed</t>
  </si>
  <si>
    <t>Cell:Row,Columns Intersection(A1,B5) | Row:Horizontal Lines(1,2,3) | Column:Vertical Line(A,B,C) | Range:Multiple Cells Selection(Left-Right or Top-Bottom),(eg:A1:F5)</t>
  </si>
  <si>
    <t>Counting Sequence(1-100),Reppeating Values(Sum,Mon,Jan,Feb), Copy Formulas</t>
  </si>
  <si>
    <t>Absolute:Column &amp; Row Lock, not Formula Drag($A$1)-Locked for Every Value | Relative:Column &amp; Row Not Lock, Formula Drag(A1,A2,A3)</t>
  </si>
  <si>
    <t>Sum:Total Value Calculate | Average:every Number Avg Value | Min:Minimum Value | Max:Maximum Value</t>
  </si>
  <si>
    <t>Sorting:Arranging data in  order,Z to A, A to Z,Smallest to Largest(Names in Alphabetical Order) | Filtering:for Choosing Specific Value(Slect Region)</t>
  </si>
  <si>
    <t>Merge Center: Multiple Cells combined in one Large Cell, Use in Headings,Titles| Wrap Text:Show Long Text into Multiple lines</t>
  </si>
  <si>
    <t>Data Types:Text-Letters, Words, String,(Apple,A) | Number-Integer,Decimal(1,0.1) | Date-DD-MM-YYYY,MM/DD/YYYY) | Logical-True &amp; False, IF,AND,OR etc</t>
  </si>
  <si>
    <t>for Fixed/Freezing Top Row or Left Column, Visible Headings in Large Dataset</t>
  </si>
  <si>
    <t>AutoSum(Alt+=), Copy(ctrl+c), Paste(ctrl+V), Insert Row(Ctrl+Shift++), Delete Row(ctrl+-), Undo(ctrl+z), Redo(ctrl+y)</t>
  </si>
  <si>
    <t>Converting  Data to Structured Format, Automatically added Filters, Full column formulas automatically apply, Dynamic range for Charts &amp; Pivot Tables, Table Styling</t>
  </si>
  <si>
    <t>Count:Counting only Numbers(10,20,30=3) |  Counta:Counting for Numbers+Text+Symbols(A+20+Hello+3) | CountaBlank:Count Blank Cells In Dataset</t>
  </si>
  <si>
    <t>IF(Marks&gt;=90,"A",IF(Marks&gt;=75,"B",IF(Marks&gt;=60,"C","D")))</t>
  </si>
  <si>
    <t>IF(Marks&gt;40,"Pass",Fail")</t>
  </si>
  <si>
    <t>And:IF(AND(Marks&gt;=40,Attendance&gt;=75%),"Pass","Fail") | OR:IF(OR(Marks&gt;=40,Attendance="Yes"),"Pass","Fail")</t>
  </si>
  <si>
    <t>SumIF:1 Condition(Salesperson=Ram,Sales(SUMIF(Salesperson,"Ram",Sales) | SUMIFS:Multiple Conditions(Sales,Salesperson=Ram,Product="Laptop"(SUMIFS(Sales,Salesperson,"Ram",Product,"Laptop")</t>
  </si>
  <si>
    <t>COUNTIF:1 Condition(City=Delhi(COUNTIF(City,"Delhi") | COUNTIFS:Multiple Conditions(City=Delhi,Gender="Female"(SUMIFS(City,"Delhi",Gender,"Female")</t>
  </si>
  <si>
    <t>AVERAGEIF:1 Condition(Category = Fruit,Sales(AVERAGEIF(Category ,"Fruit",Sales) | AVERAGEIFS:Multiple Conditions(Sales,Category = Fruit,Region = East"(AVERAGEIFS(Sales,Category,"Fruit",Region,"East")</t>
  </si>
  <si>
    <t>Color Scale:Show Difference in High &amp; Low Values(Score,Sales,Profit Trends(High=Green,Low=Red)</t>
  </si>
  <si>
    <t>Autometically Remove Duplicates Value(Customer Name=Remove all Repeated Names)</t>
  </si>
  <si>
    <t>Data Tab-Data Validation-Allow-List-Source-Value(Yes,No)-ok</t>
  </si>
  <si>
    <t>in one Column has Multiple Value &amp; convert these values into Split Columns(FirstName LastName=2Columns, City,State=Split in Basis of Comma</t>
  </si>
  <si>
    <t>LEFT(FullName,3)-Left sides 3 characters(PhoneNum=4 Digits), RIGHT(FullName,2) → Right sides 2 characters(Names Intials), MID(FullName,2,3) → 2nd letters 3 letters(Extract Product Code)</t>
  </si>
  <si>
    <t>CONCAT:2 Text Join(CONCAT(name," ","Ram") | TEXTJOIN: with Seprator(TEXTJOIN(",",True,FULLNameLastName Range)</t>
  </si>
  <si>
    <t>Removing Extra Spaces from Words("   Hello      Bhawna "="Hello Bhawna")</t>
  </si>
  <si>
    <t>salary:4567.89</t>
  </si>
  <si>
    <r>
      <t>ROUND(Salary,0)</t>
    </r>
    <r>
      <rPr>
        <sz val="11"/>
        <color theme="1"/>
        <rFont val="Aptos Narrow"/>
        <family val="2"/>
        <scheme val="minor"/>
      </rPr>
      <t xml:space="preserve"> → 4568</t>
    </r>
  </si>
  <si>
    <r>
      <t>ROUNDDOWN(Salary,0)</t>
    </r>
    <r>
      <rPr>
        <sz val="11"/>
        <color theme="1"/>
        <rFont val="Aptos Narrow"/>
        <family val="2"/>
        <scheme val="minor"/>
      </rPr>
      <t xml:space="preserve"> → 4567 (Always Down)</t>
    </r>
  </si>
  <si>
    <r>
      <t>ROUNDUP(Salary,0)</t>
    </r>
    <r>
      <rPr>
        <sz val="11"/>
        <color theme="1"/>
        <rFont val="Aptos Narrow"/>
        <family val="2"/>
        <scheme val="minor"/>
      </rPr>
      <t xml:space="preserve"> → 4568 (Always UP)</t>
    </r>
  </si>
  <si>
    <t>VLOOKUP(Name,CustomerTable Range,Name Range,0)</t>
  </si>
  <si>
    <t>Exact Match(0) Same value Return (most common) | Approximate Match(1) Close Value Find(Sorting Required)</t>
  </si>
  <si>
    <t>Only data fetching from the right side, if the column is changed or the Delete Formula is broken, Given Statical Column Number(3,4,5), Slow on Large data, for AppRox Match(1)Sorted Data</t>
  </si>
  <si>
    <t>Horizontal Lookup: Hlookup("Sales",Table range,3,0)</t>
  </si>
  <si>
    <t>Left+Right(360) Direction, Exact Match by default, Fast &amp; Modern Lookup, Error handle(IFERROR built-in), Return Multiple Value, IF the column is changed or the delete Formula not broked</t>
  </si>
  <si>
    <t>INDEX(NameColumn,MATCH(EmpID,IDColumn,0))</t>
  </si>
  <si>
    <t>Left Lookup Possible, Fast in Large dataset, Dynamic Lookup(Column Num. not required), Multiple Criteria Lookup Possible,  IF the column is changed or the delete Formula not broked</t>
  </si>
  <si>
    <t>1 Top to Bottom Search</t>
  </si>
  <si>
    <t>Bottom to Top Search</t>
  </si>
  <si>
    <t>XLOOKUP(ID,IDColumn,AMTColumn,,,-1)</t>
  </si>
  <si>
    <t>Today:Current Today date | Now:Current Time &amp; Date</t>
  </si>
  <si>
    <t>Age=Today's date-Birth Date(DATEDIF(Birthdate,Today(),"Y")</t>
  </si>
  <si>
    <t>Adding Monthly EMI Date(EDATE(Date,1)</t>
  </si>
  <si>
    <t>NETWORKDAYS(StartDate, EndDate) | NETWORKDAYS(StartDate, EndDate) | NETWORKDAYS(StartDate, EndDate, Range)</t>
  </si>
  <si>
    <t>DAY(Date)  Date day number(15-Jan=15) | MONTH(Date)Month number(Jan =1) | YEAR(Date)Year(2026)</t>
  </si>
  <si>
    <t>Converting Large Dataset into Summary, Total Sales, Count of Orders, Region wise Report, Category wise Summary, Quick Analysis without Formulas, BIG DATA-QUICK SUMMARY</t>
  </si>
  <si>
    <t>Slicer=Filter Buttons, Fast Filter using in Pivot Table, Click Buttons=Data Instantly change, Best for Dashboards(Month,Regio,Category Filter)</t>
  </si>
  <si>
    <t>Pivot Table=Graph/Chart version, Pivot Table Data change Automatic Chart will Update(Dashboard,Bar Chart,Pie Chart etc)</t>
  </si>
  <si>
    <t>NestedIF:Multiple IF inside each other,Long Formulas,Difficult Reading | IFS:Single Function with Multiple Conditions, Clean,Simple,Modern(=IFS(Marks&gt;=90,"A", Marks&gt;=75,"B", Marks&gt;=60,"C", TRUE,"D")</t>
  </si>
  <si>
    <t>Creating OFFSET dynamic Range, Moving Avg Calculation, Dynamic Charts, if Table Size not Fix then Automatically Adjusting The Column Range(OFFSET(name,0,0,Counta(namerange),1)</t>
  </si>
  <si>
    <t xml:space="preserve">A named range that automatically expands or contracts as the data increases or decreases. </t>
  </si>
  <si>
    <t>Power Query = Excel's data cleaning + automation tool.Clean messy data, Remove Dulicates, Transform data(split,merge), combine multiple files, Autometically refresh reports , After you clean the data once, it automatically refreshes every month</t>
  </si>
  <si>
    <t>Suppose:</t>
  </si>
  <si>
    <t>Profit=Revenue-Cost</t>
  </si>
  <si>
    <t>I Want</t>
  </si>
  <si>
    <t>Profit=50000</t>
  </si>
  <si>
    <t>Goal Seek Step:</t>
  </si>
  <si>
    <t>Formula Cell Select (Profit)-Data-WhatIF Analysis-Goal Seek-Set Cell:Profit Cell-To Value:50000-By Changing Cell:Revenue or Cost</t>
  </si>
  <si>
    <t>When you wanna show Different Possible Results.</t>
  </si>
  <si>
    <t>Company Budget</t>
  </si>
  <si>
    <t>Scenario</t>
  </si>
  <si>
    <t>Marketing</t>
  </si>
  <si>
    <t>Salary</t>
  </si>
  <si>
    <t>Total Cost</t>
  </si>
  <si>
    <t>Low</t>
  </si>
  <si>
    <t>Medium</t>
  </si>
  <si>
    <t>High</t>
  </si>
  <si>
    <t>Two-Variable data table is used when you want two different input values and see how they affect one single result</t>
  </si>
  <si>
    <t>Calculate EMI based on:</t>
  </si>
  <si>
    <t>Interest Rate (Column)</t>
  </si>
  <si>
    <t>Loan Tenure (Row)</t>
  </si>
  <si>
    <t>Tenure ↓ / Rate →</t>
  </si>
  <si>
    <t>12 months</t>
  </si>
  <si>
    <t>EMI</t>
  </si>
  <si>
    <t>24 months</t>
  </si>
  <si>
    <t>36 months</t>
  </si>
  <si>
    <t>Reference top left cell in EMI Formula-Fill Interest Rate in Column- Fill Tenure in Row-Select Table-Data Tab-WhatIF Analysis-Data Table-Row=Tenure-Column=Rate</t>
  </si>
  <si>
    <t>Line Chart:Time Series data(Monthly,Yearly Sales) , Show in Lines</t>
  </si>
  <si>
    <t>Pie Chart:Category Show Total in Percentage Share Clearly Visible</t>
  </si>
  <si>
    <t>Bar/Column Chart:Ranking,Comparison, Highest to Lowest data Show best in this Charts</t>
  </si>
  <si>
    <t>Bar/Column,Map Chart:Best Visualization for Comparison</t>
  </si>
  <si>
    <t>Remove Duplicate(Fastest Method)</t>
  </si>
  <si>
    <t>Data Tab-Remove Duplicates:1 Click Duplicates Name Remove, Best for Quick Cleaning</t>
  </si>
  <si>
    <t>Power Query(Automatic / Repeatable Cleaning)</t>
  </si>
  <si>
    <t>Large data, Regular Monthly Reports: Data Tab- From Table/Range-Power Query Open-Remove Duplicates-Close &amp; Load | Next Time  Refresh-Auto Clean, no manual work, Best for Automation</t>
  </si>
  <si>
    <t>Advanced Filter(Unique List Without Deleting Anything)</t>
  </si>
  <si>
    <t>Data Tab-Advance Filter-Choose Copy to another location, Check Unique Records Only,Clean or Unique Output | Original data safe, seprate unique list, great for Reference List(Drop-Down, Lookup)</t>
  </si>
  <si>
    <t>1. Total Sales nikaalo</t>
  </si>
  <si>
    <t>Sales * Quantity</t>
  </si>
  <si>
    <t>2. Discounted Sales nikaalo</t>
  </si>
  <si>
    <t>Sales * (1 - Discount)</t>
  </si>
  <si>
    <t>3. Profit Margin nikaalo</t>
  </si>
  <si>
    <t>Profit / Sales</t>
  </si>
  <si>
    <t>Region-Wise Total Sale</t>
  </si>
  <si>
    <t>Product Category-Wise Total QTY</t>
  </si>
  <si>
    <t>Highest Sales Value</t>
  </si>
  <si>
    <t>Lowest Profit Value</t>
  </si>
  <si>
    <t>Avg Discount</t>
  </si>
  <si>
    <t>Total Orders</t>
  </si>
  <si>
    <t>East Region Total Orders</t>
  </si>
  <si>
    <t>SUMIF(Table1[[#All],[Region]],"East",Table1[[#All],[Sales]])</t>
  </si>
  <si>
    <t>SUMIFS(Table1[[#All],[Quantity]],Table1[[#All],[Product Category]],"Furniture")</t>
  </si>
  <si>
    <t>MAX(Table1[[#All],[Sales]])</t>
  </si>
  <si>
    <t>MIN(Table1[[#All],[Profit]])</t>
  </si>
  <si>
    <t>AVERAGE(Table1[[#All],[Discount]])</t>
  </si>
  <si>
    <t>COUNTA(Table1[[#All],[Order ID]])</t>
  </si>
  <si>
    <t>COUNTIF(Table1[[#All],[Region]],"East")</t>
  </si>
  <si>
    <t>Profit&gt;1000,High Profit,Low Profit</t>
  </si>
  <si>
    <t>Quantity &gt; 3 or Discount &gt; 0.05  Bulk Deal</t>
  </si>
  <si>
    <t xml:space="preserve">Region “East” or “West” ho to “High Priority Region” </t>
  </si>
  <si>
    <t>Product Name's first 5 characters</t>
  </si>
  <si>
    <t>Order Date me se Month nikaalo</t>
  </si>
  <si>
    <t>Profit Category</t>
  </si>
  <si>
    <t>Deal Type</t>
  </si>
  <si>
    <t>Region Type</t>
  </si>
  <si>
    <t>Product Name 5 Characters</t>
  </si>
  <si>
    <t>Order Month Number</t>
  </si>
  <si>
    <t>IF([@Profit]&gt;800,"High Profit","Low Profit")</t>
  </si>
  <si>
    <t>=IF([@Profit]&gt;800,"High Profit","Low Profit")</t>
  </si>
  <si>
    <t>IF(AND([@Quantity]&gt;2,[@Discount]&gt;0.04),"Bulk Deal","Ok Deal")</t>
  </si>
  <si>
    <t xml:space="preserve">  =IF(AND([@Quantity]&gt;2,[@Discount]&gt;0.04),"Bulk Deal","Ok Deal")</t>
  </si>
  <si>
    <t xml:space="preserve"> IF(OR([@Region]="East",[@Region]="West"),"High Priority Region","Only Region")</t>
  </si>
  <si>
    <t>IF(OR([@Region]="East",[@Region]="West"),"High Priority Region","Only Region")</t>
  </si>
  <si>
    <t xml:space="preserve">  =LEFT([@[Product Name]],5)</t>
  </si>
  <si>
    <t xml:space="preserve"> =LEFT([@[Product Name]],5)</t>
  </si>
  <si>
    <t xml:space="preserve">   =MONTH([@[Order Date]])</t>
  </si>
  <si>
    <t xml:space="preserve">  =MONTH([@[Order Date]])</t>
  </si>
  <si>
    <t>Customer Name ko “Last name, First name” me convert</t>
  </si>
  <si>
    <t>Sales column ke blank cells count</t>
  </si>
  <si>
    <t>Sales ko nearest 10 round</t>
  </si>
  <si>
    <t xml:space="preserve"> Date difference nikaalo</t>
  </si>
  <si>
    <t>Discount percentage ko text me convert</t>
  </si>
  <si>
    <t>Name</t>
  </si>
  <si>
    <t>Text Discount</t>
  </si>
  <si>
    <t>DateDiff</t>
  </si>
  <si>
    <t xml:space="preserve">  =RIGHT([@[Customer Name]],LEN([@[Customer Name]])-FIND(" ",[@[Customer Name]])) &amp; ",  " &amp; LEFT([@[Customer Name]],FIND(" ",[@[Customer Name]])-1)</t>
  </si>
  <si>
    <t xml:space="preserve">  =COUNTBLANK(Table1[Sales])</t>
  </si>
  <si>
    <t xml:space="preserve">  =ROUND(F2,-1)</t>
  </si>
  <si>
    <t xml:space="preserve">  =[@[Order Date]]-10</t>
  </si>
  <si>
    <t xml:space="preserve">  =TEXT([@Discount],"0%")</t>
  </si>
  <si>
    <r>
      <t xml:space="preserve">specific Order ID ka </t>
    </r>
    <r>
      <rPr>
        <b/>
        <sz val="11"/>
        <color theme="1"/>
        <rFont val="Aptos Narrow"/>
        <family val="2"/>
        <scheme val="minor"/>
      </rPr>
      <t>Customer Name</t>
    </r>
    <r>
      <rPr>
        <sz val="11"/>
        <color theme="1"/>
        <rFont val="Aptos Narrow"/>
        <family val="2"/>
        <scheme val="minor"/>
      </rPr>
      <t xml:space="preserve">  nikaalo.</t>
    </r>
  </si>
  <si>
    <r>
      <t xml:space="preserve">Order ID se </t>
    </r>
    <r>
      <rPr>
        <b/>
        <sz val="11"/>
        <color theme="1"/>
        <rFont val="Aptos Narrow"/>
        <family val="2"/>
        <scheme val="minor"/>
      </rPr>
      <t>Product Category</t>
    </r>
    <r>
      <rPr>
        <sz val="11"/>
        <color theme="1"/>
        <rFont val="Aptos Narrow"/>
        <family val="2"/>
        <scheme val="minor"/>
      </rPr>
      <t xml:space="preserve"> lookup karo.</t>
    </r>
  </si>
  <si>
    <r>
      <rPr>
        <b/>
        <sz val="11"/>
        <color theme="1"/>
        <rFont val="Aptos Narrow"/>
        <family val="2"/>
        <scheme val="minor"/>
      </rPr>
      <t>Profit</t>
    </r>
    <r>
      <rPr>
        <sz val="11"/>
        <color theme="1"/>
        <rFont val="Aptos Narrow"/>
        <family val="2"/>
        <scheme val="minor"/>
      </rPr>
      <t xml:space="preserve"> find karo.</t>
    </r>
  </si>
  <si>
    <t xml:space="preserve">24. Region find karo </t>
  </si>
  <si>
    <t xml:space="preserve">  =VLOOKUP(Table1[@[Order ID]],Table1[#All],2,0)</t>
  </si>
  <si>
    <t xml:space="preserve">   =VLOOKUP(Table1[@[Order ID]],Table1[#All],2,0)</t>
  </si>
  <si>
    <t xml:space="preserve">   =VLOOKUP(A2,Table1[#All],4,0)</t>
  </si>
  <si>
    <t xml:space="preserve">  =VLOOKUP(A2,Table1[#All],4,0)</t>
  </si>
  <si>
    <t xml:space="preserve">  =VLOOKUP(A2,Table1[#All],9,0)</t>
  </si>
  <si>
    <t xml:space="preserve">   =INDEX(Table1[[#All],[Region]],MATCH(A2,Table1[[#All],[Order ID]],0))</t>
  </si>
  <si>
    <t xml:space="preserve">  =INDEX(Table1[[#All],[Region]],MATCH(A2,Table1[[#All],[Order ID]],0))</t>
  </si>
  <si>
    <t xml:space="preserve">   =XLOOKUP(A2,Table1[[#All],[Order ID]],Table1[[#All],[Product Name]])</t>
  </si>
  <si>
    <t xml:space="preserve">   =XLOOKUP(A2,Table1[[#All],[Order ID]],Table1[[#All],[Sales]],,,-1)</t>
  </si>
  <si>
    <t xml:space="preserve">  =XLOOKUP(A2,Table1[[#All],[Order ID]],Table1[[#All],[Sales]],,,-1)</t>
  </si>
  <si>
    <t xml:space="preserve">       =IFNA(XLOOKUP(A2,Table1[[#All],[Order ID]],Table1[[#All],[Customer Name]]),"Not Found")</t>
  </si>
  <si>
    <t xml:space="preserve">  =IFNA(XLOOKUP(A2,Table1[[#All],[Order ID]],Table1[[#All],[Customer Name]]),"Not Found")</t>
  </si>
  <si>
    <t xml:space="preserve">  =INDEX(Table1[[#All],[Quantity]],MATCH(A2,Table1[[#All],[Order ID]],0))</t>
  </si>
  <si>
    <t xml:space="preserve">  =HLOOKUP(Table1[[#Headers],[Sales]],Table1[#All],2,0)</t>
  </si>
  <si>
    <t xml:space="preserve">  =MATCH(D4,Table1[[#All],[Product Category]],0)</t>
  </si>
  <si>
    <t xml:space="preserve"> Product Name return karo.</t>
  </si>
  <si>
    <t>previous/next match find karo</t>
  </si>
  <si>
    <t xml:space="preserve">27. Agar Order ID exist nahi karta ho to result = “Not Found” show karo </t>
  </si>
  <si>
    <t>Quantity find karo.</t>
  </si>
  <si>
    <t xml:space="preserve">header row se value nikaalo </t>
  </si>
  <si>
    <t xml:space="preserve"> “Technology” kis row number par hai, find karo.</t>
  </si>
  <si>
    <t>Birthdate</t>
  </si>
  <si>
    <t>Age</t>
  </si>
  <si>
    <t>Year</t>
  </si>
  <si>
    <t>Delivery Date2</t>
  </si>
  <si>
    <t>Week Number</t>
  </si>
  <si>
    <t>Net Workdays</t>
  </si>
  <si>
    <t>Week Day</t>
  </si>
  <si>
    <t>OrderDate</t>
  </si>
  <si>
    <t xml:space="preserve">  =DATEDIF([@Birthdate],TODAY(),"Y")</t>
  </si>
  <si>
    <t xml:space="preserve">  =WEEKNUM(J2)</t>
  </si>
  <si>
    <t xml:space="preserve">  =J2+10(J2=Order date)</t>
  </si>
  <si>
    <t xml:space="preserve">  =NETWORKDAYS(J2,K2)</t>
  </si>
  <si>
    <t xml:space="preserve">  =WEEKDAY(J2,1)</t>
  </si>
  <si>
    <t xml:space="preserve">  =SUMIFS(Table1[[#All],[Sales]],Table1[[#All],[Order Month]],N24)=February</t>
  </si>
  <si>
    <t xml:space="preserve">  =SUMIFS(Table1[[#All],[Sales]],Table1[[#All],[Order Month]],N2)=January</t>
  </si>
  <si>
    <t xml:space="preserve">  =YEAR([@[Order Date]])</t>
  </si>
  <si>
    <t xml:space="preserve">  =IF([@[Order Date]]&lt;TODAY(),"Old Order","New Order")</t>
  </si>
  <si>
    <t>Age nikaalo</t>
  </si>
  <si>
    <t>Order Date me se week number nikaalo</t>
  </si>
  <si>
    <t>10 days add karke Delivery Date calculate karo</t>
  </si>
  <si>
    <t xml:space="preserve"> Working days nikaalo</t>
  </si>
  <si>
    <t xml:space="preserve"> Order kis weekday ko place hua tha?</t>
  </si>
  <si>
    <t xml:space="preserve">. Month-wise Sales summary banao </t>
  </si>
  <si>
    <t>Year extract karo</t>
  </si>
  <si>
    <t>Today ki date compare karo order date se → “Old Order” ya “New Order”.</t>
  </si>
  <si>
    <t>Rank</t>
  </si>
  <si>
    <t>Running Total</t>
  </si>
  <si>
    <t>=SUMPRODUCT(([Product Category]="Technology")*([Sales]))</t>
  </si>
  <si>
    <t xml:space="preserve">  =IF(COUNTIF(Table1[[#All],[Customer Name]],B2)&gt;1,"Duplicate","Unique")</t>
  </si>
  <si>
    <t xml:space="preserve">  =SUM(OFFSET(J2,10,0,COUNTA(Table1[[#All],[Sales]])-1))</t>
  </si>
  <si>
    <t>Profit Grade</t>
  </si>
  <si>
    <t xml:space="preserve">   =RANK([@Sales],Table1[[#All],[Order ID]:[OrderDate]])</t>
  </si>
  <si>
    <t>Offset Sale</t>
  </si>
  <si>
    <t>Avg Days</t>
  </si>
  <si>
    <t>. Top 5 products identify karo using</t>
  </si>
  <si>
    <t>. Sales ranking karo).</t>
  </si>
  <si>
    <t xml:space="preserve">  =LARGE(Table1[[#All],[Order ID]:[Rank]],1)</t>
  </si>
  <si>
    <t xml:space="preserve">  =SUM($F$2:F2)</t>
  </si>
  <si>
    <t xml:space="preserve"> Running Total banao</t>
  </si>
  <si>
    <r>
      <t xml:space="preserve"> Total Sales ka </t>
    </r>
    <r>
      <rPr>
        <b/>
        <sz val="11"/>
        <color theme="1"/>
        <rFont val="Aptos Narrow"/>
        <family val="2"/>
        <scheme val="minor"/>
      </rPr>
      <t xml:space="preserve">Moving Average </t>
    </r>
  </si>
  <si>
    <t xml:space="preserve">  =AVERAGE(J2:J4)</t>
  </si>
  <si>
    <t xml:space="preserve">  =IFS([@Profit]&gt;3000,"A",[@Profit]&gt;1000,"B",[@Profit]&gt;500,"C",TRUE,"D")</t>
  </si>
  <si>
    <t xml:space="preserve"> Duplicate customers identify karo </t>
  </si>
  <si>
    <t>Profit grading karo:</t>
  </si>
  <si>
    <t xml:space="preserve"> Dynamic range banao</t>
  </si>
  <si>
    <t>. Goal Seek-Profit = 5000 achieve karna hai → Sales ya Discount badal ke.</t>
  </si>
  <si>
    <t xml:space="preserve"> Data Table-EMI calculate karo</t>
  </si>
  <si>
    <t>Cost</t>
  </si>
  <si>
    <t>Goal Seek Steps: Data Tab-What IF Analysis-Goal Seek-open POP UP Window</t>
  </si>
  <si>
    <t>Set Cell:Profit(With Formula)</t>
  </si>
  <si>
    <t>To Value: 5000</t>
  </si>
  <si>
    <t>By Changing Cell: Sales</t>
  </si>
  <si>
    <t>OK</t>
  </si>
  <si>
    <t>Loan Amount</t>
  </si>
  <si>
    <t>Interest Rate</t>
  </si>
  <si>
    <t>Tenure (Months)</t>
  </si>
  <si>
    <t>Row Input Cell: Interest Rate</t>
  </si>
  <si>
    <t>Column Input Cell: Tenure</t>
  </si>
  <si>
    <t>Row Labels</t>
  </si>
  <si>
    <t>Grand Total</t>
  </si>
  <si>
    <t>Sum of Sales</t>
  </si>
  <si>
    <t>Sum of Profit</t>
  </si>
  <si>
    <t>Region-wise profit bar chart</t>
  </si>
  <si>
    <t>Dashboard 1:</t>
  </si>
  <si>
    <t>Business Performance Dashboard</t>
  </si>
  <si>
    <t>Total Profit</t>
  </si>
  <si>
    <t>Avg Profit Margin</t>
  </si>
  <si>
    <t>01-Jan</t>
  </si>
  <si>
    <t>03-Jan</t>
  </si>
  <si>
    <t>05-Jan</t>
  </si>
  <si>
    <t>07-Jan</t>
  </si>
  <si>
    <t>09-Jan</t>
  </si>
  <si>
    <t>11-Jan</t>
  </si>
  <si>
    <t>13-Jan</t>
  </si>
  <si>
    <t>15-Jan</t>
  </si>
  <si>
    <t>17-Jan</t>
  </si>
  <si>
    <t>19-Jan</t>
  </si>
  <si>
    <t>20-Jan</t>
  </si>
  <si>
    <t>21-Jan</t>
  </si>
  <si>
    <t>22-Jan</t>
  </si>
  <si>
    <t>23-Jan</t>
  </si>
  <si>
    <t>24-Jan</t>
  </si>
  <si>
    <t>25-Jan</t>
  </si>
  <si>
    <t>26-Jan</t>
  </si>
  <si>
    <t>27-Jan</t>
  </si>
  <si>
    <t>28-Jan</t>
  </si>
  <si>
    <t>29-Jan</t>
  </si>
  <si>
    <t>30-Jan</t>
  </si>
  <si>
    <t>31-Jan</t>
  </si>
  <si>
    <t>01-Feb</t>
  </si>
  <si>
    <t>02-Feb</t>
  </si>
  <si>
    <t>03-Feb</t>
  </si>
  <si>
    <t>04-Feb</t>
  </si>
  <si>
    <t>05-Feb</t>
  </si>
  <si>
    <t>06-Feb</t>
  </si>
  <si>
    <t>07-Feb</t>
  </si>
  <si>
    <t>08-Feb</t>
  </si>
  <si>
    <t>09-Feb</t>
  </si>
  <si>
    <t>10-Feb</t>
  </si>
  <si>
    <t>11-Feb</t>
  </si>
  <si>
    <t>12-Feb</t>
  </si>
  <si>
    <t>13-Feb</t>
  </si>
  <si>
    <t>14-Feb</t>
  </si>
  <si>
    <t>15-Feb</t>
  </si>
  <si>
    <t>16-Feb</t>
  </si>
  <si>
    <t>17-Feb</t>
  </si>
  <si>
    <t>18-Feb</t>
  </si>
  <si>
    <t>19-Feb</t>
  </si>
  <si>
    <t>20-Feb</t>
  </si>
  <si>
    <t>21-Feb</t>
  </si>
  <si>
    <t>22-Feb</t>
  </si>
  <si>
    <t>23-Feb</t>
  </si>
  <si>
    <t>24-Feb</t>
  </si>
  <si>
    <t>25-Feb</t>
  </si>
  <si>
    <t>26-Feb</t>
  </si>
  <si>
    <t>27-Feb</t>
  </si>
  <si>
    <t>28-Feb</t>
  </si>
  <si>
    <t>line</t>
  </si>
  <si>
    <t>donut</t>
  </si>
  <si>
    <t>column</t>
  </si>
  <si>
    <t>bar</t>
  </si>
  <si>
    <t>Count of Delivery Status</t>
  </si>
  <si>
    <t>pie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</si>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</sst>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 #,##0.00;[Red]&quot;₹&quot;\ \-#,##0.00"/>
  </numFmts>
  <fonts count="9">
    <font>
      <sz val="11"/>
      <color theme="1"/>
      <name val="Aptos Narrow"/>
      <family val="2"/>
      <scheme val="minor"/>
    </font>
    <font>
      <b/>
      <sz val="11"/>
      <color theme="1"/>
      <name val="Aptos Narrow"/>
      <family val="2"/>
      <scheme val="minor"/>
    </font>
    <font>
      <b/>
      <sz val="24"/>
      <color theme="1"/>
      <name val="Aptos Narrow"/>
      <family val="2"/>
      <scheme val="minor"/>
    </font>
    <font>
      <b/>
      <sz val="18"/>
      <color theme="1"/>
      <name val="Aptos Narrow"/>
      <family val="2"/>
      <scheme val="minor"/>
    </font>
    <font>
      <sz val="10"/>
      <color theme="1"/>
      <name val="Arial Unicode MS"/>
    </font>
    <font>
      <sz val="11"/>
      <color theme="1"/>
      <name val="Aptos Narrow"/>
      <family val="2"/>
      <scheme val="minor"/>
    </font>
    <font>
      <sz val="8"/>
      <name val="Aptos Narrow"/>
      <family val="2"/>
      <scheme val="minor"/>
    </font>
    <font>
      <b/>
      <sz val="11"/>
      <color theme="0"/>
      <name val="Aptos Narrow"/>
      <family val="2"/>
      <scheme val="minor"/>
    </font>
    <font>
      <b/>
      <sz val="9"/>
      <color theme="1"/>
      <name val="Aptos Narrow"/>
      <family val="2"/>
      <scheme val="minor"/>
    </font>
  </fonts>
  <fills count="6">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theme="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theme="4" tint="0.39997558519241921"/>
      </top>
      <bottom style="thin">
        <color indexed="64"/>
      </bottom>
      <diagonal/>
    </border>
  </borders>
  <cellStyleXfs count="2">
    <xf numFmtId="0" fontId="0" fillId="0" borderId="0"/>
    <xf numFmtId="9" fontId="5" fillId="0" borderId="0" applyFont="0" applyFill="0" applyBorder="0" applyAlignment="0" applyProtection="0"/>
  </cellStyleXfs>
  <cellXfs count="48">
    <xf numFmtId="0" fontId="0" fillId="0" borderId="0" xfId="0"/>
    <xf numFmtId="0" fontId="1" fillId="0" borderId="0" xfId="0" applyFont="1"/>
    <xf numFmtId="0" fontId="0" fillId="0" borderId="1" xfId="0" applyBorder="1" applyAlignment="1">
      <alignment vertical="center"/>
    </xf>
    <xf numFmtId="14" fontId="0" fillId="0" borderId="1" xfId="0" applyNumberFormat="1" applyBorder="1" applyAlignment="1">
      <alignment vertical="center"/>
    </xf>
    <xf numFmtId="0" fontId="0" fillId="0" borderId="1" xfId="0" applyBorder="1"/>
    <xf numFmtId="0" fontId="2" fillId="0" borderId="0" xfId="0" applyFont="1" applyAlignment="1">
      <alignment vertical="center"/>
    </xf>
    <xf numFmtId="0" fontId="3"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14" fontId="0" fillId="0" borderId="0" xfId="0" applyNumberFormat="1"/>
    <xf numFmtId="0" fontId="0" fillId="0" borderId="0" xfId="0" applyAlignment="1">
      <alignment vertical="center" wrapText="1"/>
    </xf>
    <xf numFmtId="0" fontId="1" fillId="0" borderId="0" xfId="0" applyFont="1" applyAlignment="1">
      <alignment vertical="center"/>
    </xf>
    <xf numFmtId="0" fontId="0" fillId="0" borderId="0" xfId="0" applyAlignment="1">
      <alignment vertical="center"/>
    </xf>
    <xf numFmtId="3" fontId="0" fillId="0" borderId="0" xfId="0" applyNumberFormat="1" applyAlignment="1">
      <alignment vertical="center" wrapText="1"/>
    </xf>
    <xf numFmtId="0" fontId="1" fillId="0" borderId="0" xfId="0" applyFont="1" applyAlignment="1">
      <alignment horizontal="center" vertical="center"/>
    </xf>
    <xf numFmtId="9" fontId="1" fillId="0" borderId="0" xfId="0" applyNumberFormat="1" applyFont="1" applyAlignment="1">
      <alignment horizontal="center" vertical="center"/>
    </xf>
    <xf numFmtId="0" fontId="0" fillId="0" borderId="2" xfId="0" applyBorder="1" applyAlignment="1">
      <alignment vertical="center"/>
    </xf>
    <xf numFmtId="0" fontId="0" fillId="0" borderId="3" xfId="0" applyBorder="1"/>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0" fillId="0" borderId="7" xfId="0" applyBorder="1" applyAlignment="1">
      <alignment vertical="center"/>
    </xf>
    <xf numFmtId="0" fontId="0" fillId="0" borderId="8" xfId="0" applyBorder="1" applyAlignment="1">
      <alignment vertical="center"/>
    </xf>
    <xf numFmtId="14" fontId="0" fillId="0" borderId="8" xfId="0" applyNumberFormat="1" applyBorder="1" applyAlignment="1">
      <alignment vertical="center"/>
    </xf>
    <xf numFmtId="0" fontId="0" fillId="0" borderId="8" xfId="0" applyBorder="1"/>
    <xf numFmtId="0" fontId="0" fillId="0" borderId="9" xfId="0" applyBorder="1"/>
    <xf numFmtId="9" fontId="0" fillId="0" borderId="0" xfId="1" applyFont="1"/>
    <xf numFmtId="9" fontId="0" fillId="0" borderId="1" xfId="1" applyFont="1" applyBorder="1"/>
    <xf numFmtId="9" fontId="0" fillId="0" borderId="8" xfId="1" applyFont="1" applyBorder="1"/>
    <xf numFmtId="0" fontId="0" fillId="0" borderId="5" xfId="0" applyBorder="1"/>
    <xf numFmtId="14" fontId="0" fillId="0" borderId="5" xfId="0" applyNumberFormat="1" applyBorder="1"/>
    <xf numFmtId="14" fontId="0" fillId="0" borderId="1" xfId="0" applyNumberFormat="1" applyBorder="1"/>
    <xf numFmtId="0" fontId="7" fillId="2" borderId="1" xfId="0" applyFont="1" applyFill="1" applyBorder="1" applyAlignment="1">
      <alignment horizontal="center" vertical="center"/>
    </xf>
    <xf numFmtId="0" fontId="0" fillId="3" borderId="1" xfId="0" applyFill="1" applyBorder="1" applyAlignment="1">
      <alignment vertical="center"/>
    </xf>
    <xf numFmtId="0" fontId="1" fillId="0" borderId="5" xfId="0" applyFont="1" applyBorder="1"/>
    <xf numFmtId="9" fontId="1" fillId="0" borderId="5" xfId="1" applyFont="1" applyBorder="1" applyAlignment="1"/>
    <xf numFmtId="0" fontId="1" fillId="0" borderId="6" xfId="0" applyFont="1" applyBorder="1"/>
    <xf numFmtId="8" fontId="0" fillId="0" borderId="5" xfId="0" applyNumberFormat="1" applyBorder="1"/>
    <xf numFmtId="0" fontId="7" fillId="2" borderId="1" xfId="0" applyFont="1" applyFill="1" applyBorder="1"/>
    <xf numFmtId="0" fontId="0" fillId="3" borderId="10" xfId="0" applyFill="1" applyBorder="1"/>
    <xf numFmtId="8" fontId="0" fillId="3" borderId="10" xfId="0" applyNumberFormat="1" applyFill="1" applyBorder="1"/>
    <xf numFmtId="0" fontId="0" fillId="0" borderId="10" xfId="0" applyBorder="1"/>
    <xf numFmtId="0" fontId="0" fillId="0" borderId="0" xfId="0" pivotButton="1"/>
    <xf numFmtId="0" fontId="0" fillId="0" borderId="0" xfId="0" applyAlignment="1">
      <alignment horizontal="left"/>
    </xf>
    <xf numFmtId="0" fontId="8" fillId="0" borderId="0" xfId="0" applyFont="1" applyAlignment="1">
      <alignment vertical="center"/>
    </xf>
    <xf numFmtId="0" fontId="0" fillId="4" borderId="0" xfId="0" applyFill="1"/>
    <xf numFmtId="0" fontId="0" fillId="0" borderId="0" xfId="0" applyNumberFormat="1"/>
    <xf numFmtId="0" fontId="0" fillId="5" borderId="0" xfId="0" applyFill="1"/>
  </cellXfs>
  <cellStyles count="2">
    <cellStyle name="Normal" xfId="0" builtinId="0"/>
    <cellStyle name="Percent" xfId="1" builtinId="5"/>
  </cellStyles>
  <dxfs count="49">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alignment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[Adv.ExcelWorkbook.xlsx]Adv.ExcelSheet!PivotTable1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Adv.ExcelSheet!$AV$38</c:f>
              <c:strCache>
                <c:ptCount val="1"/>
                <c:pt idx="0">
                  <c:v>Total</c:v>
                </c:pt>
              </c:strCache>
            </c:strRef>
          </c:tx>
          <c:spPr>
            <a:solidFill>
              <a:schemeClr val="accent1"/>
            </a:solidFill>
            <a:ln>
              <a:noFill/>
            </a:ln>
            <a:effectLst/>
          </c:spPr>
          <c:invertIfNegative val="0"/>
          <c:cat>
            <c:strRef>
              <c:f>Adv.ExcelSheet!$AU$39:$AU$43</c:f>
              <c:strCache>
                <c:ptCount val="4"/>
                <c:pt idx="0">
                  <c:v>East</c:v>
                </c:pt>
                <c:pt idx="1">
                  <c:v>North</c:v>
                </c:pt>
                <c:pt idx="2">
                  <c:v>South</c:v>
                </c:pt>
                <c:pt idx="3">
                  <c:v>West</c:v>
                </c:pt>
              </c:strCache>
            </c:strRef>
          </c:cat>
          <c:val>
            <c:numRef>
              <c:f>Adv.ExcelSheet!$AV$39:$AV$43</c:f>
              <c:numCache>
                <c:formatCode>General</c:formatCode>
                <c:ptCount val="4"/>
                <c:pt idx="0">
                  <c:v>41300</c:v>
                </c:pt>
                <c:pt idx="1">
                  <c:v>37060</c:v>
                </c:pt>
                <c:pt idx="2">
                  <c:v>178600</c:v>
                </c:pt>
                <c:pt idx="3">
                  <c:v>57940</c:v>
                </c:pt>
              </c:numCache>
            </c:numRef>
          </c:val>
          <c:extLst>
            <c:ext xmlns:c16="http://schemas.microsoft.com/office/drawing/2014/chart" uri="{C3380CC4-5D6E-409C-BE32-E72D297353CC}">
              <c16:uniqueId val="{00000000-824B-49A7-A265-45D5587D7AB0}"/>
            </c:ext>
          </c:extLst>
        </c:ser>
        <c:dLbls>
          <c:showLegendKey val="0"/>
          <c:showVal val="0"/>
          <c:showCatName val="0"/>
          <c:showSerName val="0"/>
          <c:showPercent val="0"/>
          <c:showBubbleSize val="0"/>
        </c:dLbls>
        <c:gapWidth val="219"/>
        <c:overlap val="-27"/>
        <c:axId val="1349759599"/>
        <c:axId val="1349770159"/>
      </c:barChart>
      <c:catAx>
        <c:axId val="134975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770159"/>
        <c:crosses val="autoZero"/>
        <c:auto val="1"/>
        <c:lblAlgn val="ctr"/>
        <c:lblOffset val="100"/>
        <c:noMultiLvlLbl val="0"/>
      </c:catAx>
      <c:valAx>
        <c:axId val="1349770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759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[Adv.ExcelWorkbook.xlsx]Adv.ExcelSheet!PivotTable2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Adv.ExcelSheet!$AV$45</c:f>
              <c:strCache>
                <c:ptCount val="1"/>
                <c:pt idx="0">
                  <c:v>Total</c:v>
                </c:pt>
              </c:strCache>
            </c:strRef>
          </c:tx>
          <c:spPr>
            <a:solidFill>
              <a:schemeClr val="accent1"/>
            </a:solidFill>
            <a:ln>
              <a:noFill/>
            </a:ln>
            <a:effectLst/>
          </c:spPr>
          <c:invertIfNegative val="0"/>
          <c:cat>
            <c:strRef>
              <c:f>Adv.ExcelSheet!$AU$46:$AU$49</c:f>
              <c:strCache>
                <c:ptCount val="3"/>
                <c:pt idx="0">
                  <c:v>Furniture</c:v>
                </c:pt>
                <c:pt idx="1">
                  <c:v>Office Supplies</c:v>
                </c:pt>
                <c:pt idx="2">
                  <c:v>Technology</c:v>
                </c:pt>
              </c:strCache>
            </c:strRef>
          </c:cat>
          <c:val>
            <c:numRef>
              <c:f>Adv.ExcelSheet!$AV$46:$AV$49</c:f>
              <c:numCache>
                <c:formatCode>General</c:formatCode>
                <c:ptCount val="3"/>
                <c:pt idx="0">
                  <c:v>31710</c:v>
                </c:pt>
                <c:pt idx="1">
                  <c:v>780</c:v>
                </c:pt>
                <c:pt idx="2">
                  <c:v>61980</c:v>
                </c:pt>
              </c:numCache>
            </c:numRef>
          </c:val>
          <c:extLst>
            <c:ext xmlns:c16="http://schemas.microsoft.com/office/drawing/2014/chart" uri="{C3380CC4-5D6E-409C-BE32-E72D297353CC}">
              <c16:uniqueId val="{00000000-F371-4434-B5A3-9917E6CB4D93}"/>
            </c:ext>
          </c:extLst>
        </c:ser>
        <c:dLbls>
          <c:showLegendKey val="0"/>
          <c:showVal val="0"/>
          <c:showCatName val="0"/>
          <c:showSerName val="0"/>
          <c:showPercent val="0"/>
          <c:showBubbleSize val="0"/>
        </c:dLbls>
        <c:gapWidth val="182"/>
        <c:axId val="1229560719"/>
        <c:axId val="1229558319"/>
      </c:barChart>
      <c:catAx>
        <c:axId val="1229560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558319"/>
        <c:crosses val="autoZero"/>
        <c:auto val="1"/>
        <c:lblAlgn val="ctr"/>
        <c:lblOffset val="100"/>
        <c:noMultiLvlLbl val="0"/>
      </c:catAx>
      <c:valAx>
        <c:axId val="1229558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56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[Adv.ExcelWorkbook.xlsx]Adv.ExcelSheet!PivotTable3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Adv.ExcelSheet!$AV$51</c:f>
              <c:strCache>
                <c:ptCount val="1"/>
                <c:pt idx="0">
                  <c:v>Sum of Sales</c:v>
                </c:pt>
              </c:strCache>
            </c:strRef>
          </c:tx>
          <c:spPr>
            <a:solidFill>
              <a:schemeClr val="accent1"/>
            </a:solidFill>
            <a:ln>
              <a:noFill/>
            </a:ln>
            <a:effectLst/>
          </c:spPr>
          <c:invertIfNegative val="0"/>
          <c:cat>
            <c:strRef>
              <c:f>Adv.ExcelSheet!$AU$52:$AU$57</c:f>
              <c:strCache>
                <c:ptCount val="5"/>
                <c:pt idx="0">
                  <c:v>Couch</c:v>
                </c:pt>
                <c:pt idx="1">
                  <c:v>Laptop</c:v>
                </c:pt>
                <c:pt idx="2">
                  <c:v>Printer</c:v>
                </c:pt>
                <c:pt idx="3">
                  <c:v>Sofa</c:v>
                </c:pt>
                <c:pt idx="4">
                  <c:v>Wardrobe</c:v>
                </c:pt>
              </c:strCache>
            </c:strRef>
          </c:cat>
          <c:val>
            <c:numRef>
              <c:f>Adv.ExcelSheet!$AV$52:$AV$57</c:f>
              <c:numCache>
                <c:formatCode>General</c:formatCode>
                <c:ptCount val="5"/>
                <c:pt idx="0">
                  <c:v>14000</c:v>
                </c:pt>
                <c:pt idx="1">
                  <c:v>150000</c:v>
                </c:pt>
                <c:pt idx="2">
                  <c:v>24000</c:v>
                </c:pt>
                <c:pt idx="3">
                  <c:v>30000</c:v>
                </c:pt>
                <c:pt idx="4">
                  <c:v>12000</c:v>
                </c:pt>
              </c:numCache>
            </c:numRef>
          </c:val>
          <c:extLst>
            <c:ext xmlns:c16="http://schemas.microsoft.com/office/drawing/2014/chart" uri="{C3380CC4-5D6E-409C-BE32-E72D297353CC}">
              <c16:uniqueId val="{00000000-5DC3-48AA-8479-F22CA74F564A}"/>
            </c:ext>
          </c:extLst>
        </c:ser>
        <c:ser>
          <c:idx val="1"/>
          <c:order val="1"/>
          <c:tx>
            <c:strRef>
              <c:f>Adv.ExcelSheet!$AW$51</c:f>
              <c:strCache>
                <c:ptCount val="1"/>
                <c:pt idx="0">
                  <c:v>Sum of Profit</c:v>
                </c:pt>
              </c:strCache>
            </c:strRef>
          </c:tx>
          <c:spPr>
            <a:solidFill>
              <a:schemeClr val="accent2"/>
            </a:solidFill>
            <a:ln>
              <a:noFill/>
            </a:ln>
            <a:effectLst/>
          </c:spPr>
          <c:invertIfNegative val="0"/>
          <c:cat>
            <c:strRef>
              <c:f>Adv.ExcelSheet!$AU$52:$AU$57</c:f>
              <c:strCache>
                <c:ptCount val="5"/>
                <c:pt idx="0">
                  <c:v>Couch</c:v>
                </c:pt>
                <c:pt idx="1">
                  <c:v>Laptop</c:v>
                </c:pt>
                <c:pt idx="2">
                  <c:v>Printer</c:v>
                </c:pt>
                <c:pt idx="3">
                  <c:v>Sofa</c:v>
                </c:pt>
                <c:pt idx="4">
                  <c:v>Wardrobe</c:v>
                </c:pt>
              </c:strCache>
            </c:strRef>
          </c:cat>
          <c:val>
            <c:numRef>
              <c:f>Adv.ExcelSheet!$AW$52:$AW$57</c:f>
              <c:numCache>
                <c:formatCode>General</c:formatCode>
                <c:ptCount val="5"/>
                <c:pt idx="0">
                  <c:v>4200</c:v>
                </c:pt>
                <c:pt idx="1">
                  <c:v>45000</c:v>
                </c:pt>
                <c:pt idx="2">
                  <c:v>7200</c:v>
                </c:pt>
                <c:pt idx="3">
                  <c:v>9000</c:v>
                </c:pt>
                <c:pt idx="4">
                  <c:v>3600</c:v>
                </c:pt>
              </c:numCache>
            </c:numRef>
          </c:val>
          <c:extLst>
            <c:ext xmlns:c16="http://schemas.microsoft.com/office/drawing/2014/chart" uri="{C3380CC4-5D6E-409C-BE32-E72D297353CC}">
              <c16:uniqueId val="{00000001-5DC3-48AA-8479-F22CA74F564A}"/>
            </c:ext>
          </c:extLst>
        </c:ser>
        <c:dLbls>
          <c:showLegendKey val="0"/>
          <c:showVal val="0"/>
          <c:showCatName val="0"/>
          <c:showSerName val="0"/>
          <c:showPercent val="0"/>
          <c:showBubbleSize val="0"/>
        </c:dLbls>
        <c:gapWidth val="219"/>
        <c:overlap val="-27"/>
        <c:axId val="535684751"/>
        <c:axId val="535685231"/>
      </c:barChart>
      <c:catAx>
        <c:axId val="53568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685231"/>
        <c:crosses val="autoZero"/>
        <c:auto val="1"/>
        <c:lblAlgn val="ctr"/>
        <c:lblOffset val="100"/>
        <c:noMultiLvlLbl val="0"/>
      </c:catAx>
      <c:valAx>
        <c:axId val="535685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684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[Adv.ExcelWorkbook.xlsx]Adv.ExcelSheet!PivotTable4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Adv.ExcelSheet!$AV$59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C4-4B4B-98CE-B0C92C71BF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C4-4B4B-98CE-B0C92C71BF97}"/>
              </c:ext>
            </c:extLst>
          </c:dPt>
          <c:cat>
            <c:strRef>
              <c:f>Adv.ExcelSheet!$AU$60:$AU$62</c:f>
              <c:strCache>
                <c:ptCount val="2"/>
                <c:pt idx="0">
                  <c:v>January</c:v>
                </c:pt>
                <c:pt idx="1">
                  <c:v>February</c:v>
                </c:pt>
              </c:strCache>
            </c:strRef>
          </c:cat>
          <c:val>
            <c:numRef>
              <c:f>Adv.ExcelSheet!$AV$60:$AV$62</c:f>
              <c:numCache>
                <c:formatCode>General</c:formatCode>
                <c:ptCount val="2"/>
                <c:pt idx="0">
                  <c:v>153500</c:v>
                </c:pt>
                <c:pt idx="1">
                  <c:v>161400</c:v>
                </c:pt>
              </c:numCache>
            </c:numRef>
          </c:val>
          <c:extLst>
            <c:ext xmlns:c16="http://schemas.microsoft.com/office/drawing/2014/chart" uri="{C3380CC4-5D6E-409C-BE32-E72D297353CC}">
              <c16:uniqueId val="{00000004-69C4-4B4B-98CE-B0C92C71BF9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[Adv.ExcelWorkbook.xlsx]Adv.ExcelSheet!PivotTable5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Adv.ExcelSheet!$AZ$38</c:f>
              <c:strCache>
                <c:ptCount val="1"/>
                <c:pt idx="0">
                  <c:v>Total</c:v>
                </c:pt>
              </c:strCache>
            </c:strRef>
          </c:tx>
          <c:spPr>
            <a:solidFill>
              <a:schemeClr val="accent1"/>
            </a:solidFill>
            <a:ln>
              <a:noFill/>
            </a:ln>
            <a:effectLst/>
          </c:spPr>
          <c:invertIfNegative val="0"/>
          <c:cat>
            <c:strRef>
              <c:f>Adv.ExcelSheet!$AY$39:$AY$43</c:f>
              <c:strCache>
                <c:ptCount val="4"/>
                <c:pt idx="0">
                  <c:v>East</c:v>
                </c:pt>
                <c:pt idx="1">
                  <c:v>North</c:v>
                </c:pt>
                <c:pt idx="2">
                  <c:v>South</c:v>
                </c:pt>
                <c:pt idx="3">
                  <c:v>West</c:v>
                </c:pt>
              </c:strCache>
            </c:strRef>
          </c:cat>
          <c:val>
            <c:numRef>
              <c:f>Adv.ExcelSheet!$AZ$39:$AZ$43</c:f>
              <c:numCache>
                <c:formatCode>General</c:formatCode>
                <c:ptCount val="4"/>
                <c:pt idx="0">
                  <c:v>12390</c:v>
                </c:pt>
                <c:pt idx="1">
                  <c:v>11118</c:v>
                </c:pt>
                <c:pt idx="2">
                  <c:v>53580</c:v>
                </c:pt>
                <c:pt idx="3">
                  <c:v>17382</c:v>
                </c:pt>
              </c:numCache>
            </c:numRef>
          </c:val>
          <c:extLst>
            <c:ext xmlns:c16="http://schemas.microsoft.com/office/drawing/2014/chart" uri="{C3380CC4-5D6E-409C-BE32-E72D297353CC}">
              <c16:uniqueId val="{00000000-7E3B-40F4-8E20-2584C091070D}"/>
            </c:ext>
          </c:extLst>
        </c:ser>
        <c:dLbls>
          <c:showLegendKey val="0"/>
          <c:showVal val="0"/>
          <c:showCatName val="0"/>
          <c:showSerName val="0"/>
          <c:showPercent val="0"/>
          <c:showBubbleSize val="0"/>
        </c:dLbls>
        <c:gapWidth val="219"/>
        <c:overlap val="-27"/>
        <c:axId val="535765359"/>
        <c:axId val="1155668927"/>
      </c:barChart>
      <c:catAx>
        <c:axId val="53576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668927"/>
        <c:crosses val="autoZero"/>
        <c:auto val="1"/>
        <c:lblAlgn val="ctr"/>
        <c:lblOffset val="100"/>
        <c:noMultiLvlLbl val="0"/>
      </c:catAx>
      <c:valAx>
        <c:axId val="1155668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76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[Adv.ExcelWorkbook.xlsx]Adv.ExcelSheet!PivotTable6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Adv.ExcelSheet!$AZ$45</c:f>
              <c:strCache>
                <c:ptCount val="1"/>
                <c:pt idx="0">
                  <c:v>Total</c:v>
                </c:pt>
              </c:strCache>
            </c:strRef>
          </c:tx>
          <c:spPr>
            <a:solidFill>
              <a:schemeClr val="accent1"/>
            </a:solidFill>
            <a:ln>
              <a:noFill/>
            </a:ln>
            <a:effectLst/>
          </c:spPr>
          <c:invertIfNegative val="0"/>
          <c:cat>
            <c:strRef>
              <c:f>Adv.ExcelSheet!$AY$46:$AY$49</c:f>
              <c:strCache>
                <c:ptCount val="3"/>
                <c:pt idx="0">
                  <c:v>Furniture</c:v>
                </c:pt>
                <c:pt idx="1">
                  <c:v>Office Supplies</c:v>
                </c:pt>
                <c:pt idx="2">
                  <c:v>Technology</c:v>
                </c:pt>
              </c:strCache>
            </c:strRef>
          </c:cat>
          <c:val>
            <c:numRef>
              <c:f>Adv.ExcelSheet!$AZ$46:$AZ$49</c:f>
              <c:numCache>
                <c:formatCode>General</c:formatCode>
                <c:ptCount val="3"/>
                <c:pt idx="0">
                  <c:v>105700</c:v>
                </c:pt>
                <c:pt idx="1">
                  <c:v>2600</c:v>
                </c:pt>
                <c:pt idx="2">
                  <c:v>206600</c:v>
                </c:pt>
              </c:numCache>
            </c:numRef>
          </c:val>
          <c:extLst>
            <c:ext xmlns:c16="http://schemas.microsoft.com/office/drawing/2014/chart" uri="{C3380CC4-5D6E-409C-BE32-E72D297353CC}">
              <c16:uniqueId val="{00000000-9339-4F12-8C8D-EB31860F1C88}"/>
            </c:ext>
          </c:extLst>
        </c:ser>
        <c:dLbls>
          <c:showLegendKey val="0"/>
          <c:showVal val="0"/>
          <c:showCatName val="0"/>
          <c:showSerName val="0"/>
          <c:showPercent val="0"/>
          <c:showBubbleSize val="0"/>
        </c:dLbls>
        <c:gapWidth val="182"/>
        <c:axId val="1195015135"/>
        <c:axId val="238932207"/>
      </c:barChart>
      <c:catAx>
        <c:axId val="1195015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932207"/>
        <c:crosses val="autoZero"/>
        <c:auto val="1"/>
        <c:lblAlgn val="ctr"/>
        <c:lblOffset val="100"/>
        <c:noMultiLvlLbl val="0"/>
      </c:catAx>
      <c:valAx>
        <c:axId val="238932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01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[Adv.ExcelWorkbook.xlsx]Adv.ExcelSheet!PivotTable7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Adv.ExcelSheet!$AZ$51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EB-4E17-9592-01C7E7E291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EB-4E17-9592-01C7E7E291FA}"/>
              </c:ext>
            </c:extLst>
          </c:dPt>
          <c:cat>
            <c:strRef>
              <c:f>Adv.ExcelSheet!$AY$52:$AY$54</c:f>
              <c:strCache>
                <c:ptCount val="2"/>
                <c:pt idx="0">
                  <c:v>January</c:v>
                </c:pt>
                <c:pt idx="1">
                  <c:v>February</c:v>
                </c:pt>
              </c:strCache>
            </c:strRef>
          </c:cat>
          <c:val>
            <c:numRef>
              <c:f>Adv.ExcelSheet!$AZ$52:$AZ$54</c:f>
              <c:numCache>
                <c:formatCode>General</c:formatCode>
                <c:ptCount val="2"/>
                <c:pt idx="0">
                  <c:v>46050</c:v>
                </c:pt>
                <c:pt idx="1">
                  <c:v>48420</c:v>
                </c:pt>
              </c:numCache>
            </c:numRef>
          </c:val>
          <c:extLst>
            <c:ext xmlns:c16="http://schemas.microsoft.com/office/drawing/2014/chart" uri="{C3380CC4-5D6E-409C-BE32-E72D297353CC}">
              <c16:uniqueId val="{00000004-0DEB-4E17-9592-01C7E7E291F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[Adv.ExcelWorkbook.xlsx]Adv.ExcelSheet!PivotTable1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Adv.ExcelSheet!$AV$38</c:f>
              <c:strCache>
                <c:ptCount val="1"/>
                <c:pt idx="0">
                  <c:v>Total</c:v>
                </c:pt>
              </c:strCache>
            </c:strRef>
          </c:tx>
          <c:spPr>
            <a:solidFill>
              <a:schemeClr val="accent1"/>
            </a:solidFill>
            <a:ln>
              <a:noFill/>
            </a:ln>
            <a:effectLst/>
          </c:spPr>
          <c:invertIfNegative val="0"/>
          <c:cat>
            <c:strRef>
              <c:f>Adv.ExcelSheet!$AU$39:$AU$43</c:f>
              <c:strCache>
                <c:ptCount val="4"/>
                <c:pt idx="0">
                  <c:v>East</c:v>
                </c:pt>
                <c:pt idx="1">
                  <c:v>North</c:v>
                </c:pt>
                <c:pt idx="2">
                  <c:v>South</c:v>
                </c:pt>
                <c:pt idx="3">
                  <c:v>West</c:v>
                </c:pt>
              </c:strCache>
            </c:strRef>
          </c:cat>
          <c:val>
            <c:numRef>
              <c:f>Adv.ExcelSheet!$AV$39:$AV$43</c:f>
              <c:numCache>
                <c:formatCode>General</c:formatCode>
                <c:ptCount val="4"/>
                <c:pt idx="0">
                  <c:v>41300</c:v>
                </c:pt>
                <c:pt idx="1">
                  <c:v>37060</c:v>
                </c:pt>
                <c:pt idx="2">
                  <c:v>178600</c:v>
                </c:pt>
                <c:pt idx="3">
                  <c:v>57940</c:v>
                </c:pt>
              </c:numCache>
            </c:numRef>
          </c:val>
          <c:extLst>
            <c:ext xmlns:c16="http://schemas.microsoft.com/office/drawing/2014/chart" uri="{C3380CC4-5D6E-409C-BE32-E72D297353CC}">
              <c16:uniqueId val="{00000000-4CD0-4770-B817-AD84992F05AE}"/>
            </c:ext>
          </c:extLst>
        </c:ser>
        <c:dLbls>
          <c:showLegendKey val="0"/>
          <c:showVal val="0"/>
          <c:showCatName val="0"/>
          <c:showSerName val="0"/>
          <c:showPercent val="0"/>
          <c:showBubbleSize val="0"/>
        </c:dLbls>
        <c:gapWidth val="219"/>
        <c:overlap val="-27"/>
        <c:axId val="1349759599"/>
        <c:axId val="1349770159"/>
      </c:barChart>
      <c:catAx>
        <c:axId val="134975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770159"/>
        <c:crosses val="autoZero"/>
        <c:auto val="1"/>
        <c:lblAlgn val="ctr"/>
        <c:lblOffset val="100"/>
        <c:noMultiLvlLbl val="0"/>
      </c:catAx>
      <c:valAx>
        <c:axId val="1349770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759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[Adv.ExcelWorkbook.xlsx]Adv.ExcelSheet!PivotTable2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Adv.ExcelSheet!$AV$45</c:f>
              <c:strCache>
                <c:ptCount val="1"/>
                <c:pt idx="0">
                  <c:v>Total</c:v>
                </c:pt>
              </c:strCache>
            </c:strRef>
          </c:tx>
          <c:spPr>
            <a:solidFill>
              <a:schemeClr val="accent1"/>
            </a:solidFill>
            <a:ln>
              <a:noFill/>
            </a:ln>
            <a:effectLst/>
          </c:spPr>
          <c:invertIfNegative val="0"/>
          <c:cat>
            <c:strRef>
              <c:f>Adv.ExcelSheet!$AU$46:$AU$49</c:f>
              <c:strCache>
                <c:ptCount val="3"/>
                <c:pt idx="0">
                  <c:v>Furniture</c:v>
                </c:pt>
                <c:pt idx="1">
                  <c:v>Office Supplies</c:v>
                </c:pt>
                <c:pt idx="2">
                  <c:v>Technology</c:v>
                </c:pt>
              </c:strCache>
            </c:strRef>
          </c:cat>
          <c:val>
            <c:numRef>
              <c:f>Adv.ExcelSheet!$AV$46:$AV$49</c:f>
              <c:numCache>
                <c:formatCode>General</c:formatCode>
                <c:ptCount val="3"/>
                <c:pt idx="0">
                  <c:v>31710</c:v>
                </c:pt>
                <c:pt idx="1">
                  <c:v>780</c:v>
                </c:pt>
                <c:pt idx="2">
                  <c:v>61980</c:v>
                </c:pt>
              </c:numCache>
            </c:numRef>
          </c:val>
          <c:extLst>
            <c:ext xmlns:c16="http://schemas.microsoft.com/office/drawing/2014/chart" uri="{C3380CC4-5D6E-409C-BE32-E72D297353CC}">
              <c16:uniqueId val="{00000000-9457-448B-B5F8-380AD440DB3F}"/>
            </c:ext>
          </c:extLst>
        </c:ser>
        <c:dLbls>
          <c:showLegendKey val="0"/>
          <c:showVal val="0"/>
          <c:showCatName val="0"/>
          <c:showSerName val="0"/>
          <c:showPercent val="0"/>
          <c:showBubbleSize val="0"/>
        </c:dLbls>
        <c:gapWidth val="182"/>
        <c:axId val="1229560719"/>
        <c:axId val="1229558319"/>
      </c:barChart>
      <c:catAx>
        <c:axId val="1229560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558319"/>
        <c:crosses val="autoZero"/>
        <c:auto val="1"/>
        <c:lblAlgn val="ctr"/>
        <c:lblOffset val="100"/>
        <c:noMultiLvlLbl val="0"/>
      </c:catAx>
      <c:valAx>
        <c:axId val="1229558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56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[Adv.ExcelWorkbook.xlsx]Adv.ExcelSheet!PivotTable3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Adv.ExcelSheet!$AV$51</c:f>
              <c:strCache>
                <c:ptCount val="1"/>
                <c:pt idx="0">
                  <c:v>Sum of Sales</c:v>
                </c:pt>
              </c:strCache>
            </c:strRef>
          </c:tx>
          <c:spPr>
            <a:solidFill>
              <a:schemeClr val="accent1"/>
            </a:solidFill>
            <a:ln>
              <a:noFill/>
            </a:ln>
            <a:effectLst/>
          </c:spPr>
          <c:invertIfNegative val="0"/>
          <c:cat>
            <c:strRef>
              <c:f>Adv.ExcelSheet!$AU$52:$AU$57</c:f>
              <c:strCache>
                <c:ptCount val="5"/>
                <c:pt idx="0">
                  <c:v>Couch</c:v>
                </c:pt>
                <c:pt idx="1">
                  <c:v>Laptop</c:v>
                </c:pt>
                <c:pt idx="2">
                  <c:v>Printer</c:v>
                </c:pt>
                <c:pt idx="3">
                  <c:v>Sofa</c:v>
                </c:pt>
                <c:pt idx="4">
                  <c:v>Wardrobe</c:v>
                </c:pt>
              </c:strCache>
            </c:strRef>
          </c:cat>
          <c:val>
            <c:numRef>
              <c:f>Adv.ExcelSheet!$AV$52:$AV$57</c:f>
              <c:numCache>
                <c:formatCode>General</c:formatCode>
                <c:ptCount val="5"/>
                <c:pt idx="0">
                  <c:v>14000</c:v>
                </c:pt>
                <c:pt idx="1">
                  <c:v>150000</c:v>
                </c:pt>
                <c:pt idx="2">
                  <c:v>24000</c:v>
                </c:pt>
                <c:pt idx="3">
                  <c:v>30000</c:v>
                </c:pt>
                <c:pt idx="4">
                  <c:v>12000</c:v>
                </c:pt>
              </c:numCache>
            </c:numRef>
          </c:val>
          <c:extLst>
            <c:ext xmlns:c16="http://schemas.microsoft.com/office/drawing/2014/chart" uri="{C3380CC4-5D6E-409C-BE32-E72D297353CC}">
              <c16:uniqueId val="{00000000-3584-497F-863B-C95A6B2186B4}"/>
            </c:ext>
          </c:extLst>
        </c:ser>
        <c:ser>
          <c:idx val="1"/>
          <c:order val="1"/>
          <c:tx>
            <c:strRef>
              <c:f>Adv.ExcelSheet!$AW$51</c:f>
              <c:strCache>
                <c:ptCount val="1"/>
                <c:pt idx="0">
                  <c:v>Sum of Profit</c:v>
                </c:pt>
              </c:strCache>
            </c:strRef>
          </c:tx>
          <c:spPr>
            <a:solidFill>
              <a:schemeClr val="accent2"/>
            </a:solidFill>
            <a:ln>
              <a:noFill/>
            </a:ln>
            <a:effectLst/>
          </c:spPr>
          <c:invertIfNegative val="0"/>
          <c:cat>
            <c:strRef>
              <c:f>Adv.ExcelSheet!$AU$52:$AU$57</c:f>
              <c:strCache>
                <c:ptCount val="5"/>
                <c:pt idx="0">
                  <c:v>Couch</c:v>
                </c:pt>
                <c:pt idx="1">
                  <c:v>Laptop</c:v>
                </c:pt>
                <c:pt idx="2">
                  <c:v>Printer</c:v>
                </c:pt>
                <c:pt idx="3">
                  <c:v>Sofa</c:v>
                </c:pt>
                <c:pt idx="4">
                  <c:v>Wardrobe</c:v>
                </c:pt>
              </c:strCache>
            </c:strRef>
          </c:cat>
          <c:val>
            <c:numRef>
              <c:f>Adv.ExcelSheet!$AW$52:$AW$57</c:f>
              <c:numCache>
                <c:formatCode>General</c:formatCode>
                <c:ptCount val="5"/>
                <c:pt idx="0">
                  <c:v>4200</c:v>
                </c:pt>
                <c:pt idx="1">
                  <c:v>45000</c:v>
                </c:pt>
                <c:pt idx="2">
                  <c:v>7200</c:v>
                </c:pt>
                <c:pt idx="3">
                  <c:v>9000</c:v>
                </c:pt>
                <c:pt idx="4">
                  <c:v>3600</c:v>
                </c:pt>
              </c:numCache>
            </c:numRef>
          </c:val>
          <c:extLst>
            <c:ext xmlns:c16="http://schemas.microsoft.com/office/drawing/2014/chart" uri="{C3380CC4-5D6E-409C-BE32-E72D297353CC}">
              <c16:uniqueId val="{00000001-3584-497F-863B-C95A6B2186B4}"/>
            </c:ext>
          </c:extLst>
        </c:ser>
        <c:dLbls>
          <c:showLegendKey val="0"/>
          <c:showVal val="0"/>
          <c:showCatName val="0"/>
          <c:showSerName val="0"/>
          <c:showPercent val="0"/>
          <c:showBubbleSize val="0"/>
        </c:dLbls>
        <c:gapWidth val="219"/>
        <c:overlap val="-27"/>
        <c:axId val="535684751"/>
        <c:axId val="535685231"/>
      </c:barChart>
      <c:catAx>
        <c:axId val="53568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685231"/>
        <c:crosses val="autoZero"/>
        <c:auto val="1"/>
        <c:lblAlgn val="ctr"/>
        <c:lblOffset val="100"/>
        <c:noMultiLvlLbl val="0"/>
      </c:catAx>
      <c:valAx>
        <c:axId val="535685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684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[Adv.ExcelWorkbook.xlsx]Adv.ExcelSheet!PivotTable4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Adv.ExcelSheet!$AV$59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D9-4BF5-BBB4-F3C2705F73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D9-4BF5-BBB4-F3C2705F7325}"/>
              </c:ext>
            </c:extLst>
          </c:dPt>
          <c:cat>
            <c:strRef>
              <c:f>Adv.ExcelSheet!$AU$60:$AU$62</c:f>
              <c:strCache>
                <c:ptCount val="2"/>
                <c:pt idx="0">
                  <c:v>January</c:v>
                </c:pt>
                <c:pt idx="1">
                  <c:v>February</c:v>
                </c:pt>
              </c:strCache>
            </c:strRef>
          </c:cat>
          <c:val>
            <c:numRef>
              <c:f>Adv.ExcelSheet!$AV$60:$AV$62</c:f>
              <c:numCache>
                <c:formatCode>General</c:formatCode>
                <c:ptCount val="2"/>
                <c:pt idx="0">
                  <c:v>153500</c:v>
                </c:pt>
                <c:pt idx="1">
                  <c:v>161400</c:v>
                </c:pt>
              </c:numCache>
            </c:numRef>
          </c:val>
          <c:extLst>
            <c:ext xmlns:c16="http://schemas.microsoft.com/office/drawing/2014/chart" uri="{C3380CC4-5D6E-409C-BE32-E72D297353CC}">
              <c16:uniqueId val="{00000000-0CB7-405A-8F34-BD6261A6347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[Adv.ExcelWorkbook.xlsx]Adv.ExcelSheet!PivotTable5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Adv.ExcelSheet!$AZ$38</c:f>
              <c:strCache>
                <c:ptCount val="1"/>
                <c:pt idx="0">
                  <c:v>Total</c:v>
                </c:pt>
              </c:strCache>
            </c:strRef>
          </c:tx>
          <c:spPr>
            <a:solidFill>
              <a:schemeClr val="accent1"/>
            </a:solidFill>
            <a:ln>
              <a:noFill/>
            </a:ln>
            <a:effectLst/>
          </c:spPr>
          <c:invertIfNegative val="0"/>
          <c:cat>
            <c:strRef>
              <c:f>Adv.ExcelSheet!$AY$39:$AY$43</c:f>
              <c:strCache>
                <c:ptCount val="4"/>
                <c:pt idx="0">
                  <c:v>East</c:v>
                </c:pt>
                <c:pt idx="1">
                  <c:v>North</c:v>
                </c:pt>
                <c:pt idx="2">
                  <c:v>South</c:v>
                </c:pt>
                <c:pt idx="3">
                  <c:v>West</c:v>
                </c:pt>
              </c:strCache>
            </c:strRef>
          </c:cat>
          <c:val>
            <c:numRef>
              <c:f>Adv.ExcelSheet!$AZ$39:$AZ$43</c:f>
              <c:numCache>
                <c:formatCode>General</c:formatCode>
                <c:ptCount val="4"/>
                <c:pt idx="0">
                  <c:v>12390</c:v>
                </c:pt>
                <c:pt idx="1">
                  <c:v>11118</c:v>
                </c:pt>
                <c:pt idx="2">
                  <c:v>53580</c:v>
                </c:pt>
                <c:pt idx="3">
                  <c:v>17382</c:v>
                </c:pt>
              </c:numCache>
            </c:numRef>
          </c:val>
          <c:extLst>
            <c:ext xmlns:c16="http://schemas.microsoft.com/office/drawing/2014/chart" uri="{C3380CC4-5D6E-409C-BE32-E72D297353CC}">
              <c16:uniqueId val="{00000000-5235-4EE1-94E1-65524348F485}"/>
            </c:ext>
          </c:extLst>
        </c:ser>
        <c:dLbls>
          <c:showLegendKey val="0"/>
          <c:showVal val="0"/>
          <c:showCatName val="0"/>
          <c:showSerName val="0"/>
          <c:showPercent val="0"/>
          <c:showBubbleSize val="0"/>
        </c:dLbls>
        <c:gapWidth val="219"/>
        <c:overlap val="-27"/>
        <c:axId val="535765359"/>
        <c:axId val="1155668927"/>
      </c:barChart>
      <c:catAx>
        <c:axId val="53576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668927"/>
        <c:crosses val="autoZero"/>
        <c:auto val="1"/>
        <c:lblAlgn val="ctr"/>
        <c:lblOffset val="100"/>
        <c:noMultiLvlLbl val="0"/>
      </c:catAx>
      <c:valAx>
        <c:axId val="1155668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76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[Adv.ExcelWorkbook.xlsx]Adv.ExcelSheet!PivotTable6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Adv.ExcelSheet!$AZ$45</c:f>
              <c:strCache>
                <c:ptCount val="1"/>
                <c:pt idx="0">
                  <c:v>Total</c:v>
                </c:pt>
              </c:strCache>
            </c:strRef>
          </c:tx>
          <c:spPr>
            <a:solidFill>
              <a:schemeClr val="accent1"/>
            </a:solidFill>
            <a:ln>
              <a:noFill/>
            </a:ln>
            <a:effectLst/>
          </c:spPr>
          <c:invertIfNegative val="0"/>
          <c:cat>
            <c:strRef>
              <c:f>Adv.ExcelSheet!$AY$46:$AY$49</c:f>
              <c:strCache>
                <c:ptCount val="3"/>
                <c:pt idx="0">
                  <c:v>Furniture</c:v>
                </c:pt>
                <c:pt idx="1">
                  <c:v>Office Supplies</c:v>
                </c:pt>
                <c:pt idx="2">
                  <c:v>Technology</c:v>
                </c:pt>
              </c:strCache>
            </c:strRef>
          </c:cat>
          <c:val>
            <c:numRef>
              <c:f>Adv.ExcelSheet!$AZ$46:$AZ$49</c:f>
              <c:numCache>
                <c:formatCode>General</c:formatCode>
                <c:ptCount val="3"/>
                <c:pt idx="0">
                  <c:v>105700</c:v>
                </c:pt>
                <c:pt idx="1">
                  <c:v>2600</c:v>
                </c:pt>
                <c:pt idx="2">
                  <c:v>206600</c:v>
                </c:pt>
              </c:numCache>
            </c:numRef>
          </c:val>
          <c:extLst>
            <c:ext xmlns:c16="http://schemas.microsoft.com/office/drawing/2014/chart" uri="{C3380CC4-5D6E-409C-BE32-E72D297353CC}">
              <c16:uniqueId val="{00000000-D7B1-4F18-BA95-7A6D13F8D2D7}"/>
            </c:ext>
          </c:extLst>
        </c:ser>
        <c:dLbls>
          <c:showLegendKey val="0"/>
          <c:showVal val="0"/>
          <c:showCatName val="0"/>
          <c:showSerName val="0"/>
          <c:showPercent val="0"/>
          <c:showBubbleSize val="0"/>
        </c:dLbls>
        <c:gapWidth val="182"/>
        <c:axId val="1195015135"/>
        <c:axId val="238932207"/>
      </c:barChart>
      <c:catAx>
        <c:axId val="1195015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932207"/>
        <c:crosses val="autoZero"/>
        <c:auto val="1"/>
        <c:lblAlgn val="ctr"/>
        <c:lblOffset val="100"/>
        <c:noMultiLvlLbl val="0"/>
      </c:catAx>
      <c:valAx>
        <c:axId val="238932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01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[Adv.ExcelWorkbook.xlsx]Adv.ExcelSheet!PivotTable7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Adv.ExcelSheet!$AZ$51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C4-499C-A03B-5C515C5992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C4-499C-A03B-5C515C5992BC}"/>
              </c:ext>
            </c:extLst>
          </c:dPt>
          <c:cat>
            <c:strRef>
              <c:f>Adv.ExcelSheet!$AY$52:$AY$54</c:f>
              <c:strCache>
                <c:ptCount val="2"/>
                <c:pt idx="0">
                  <c:v>January</c:v>
                </c:pt>
                <c:pt idx="1">
                  <c:v>February</c:v>
                </c:pt>
              </c:strCache>
            </c:strRef>
          </c:cat>
          <c:val>
            <c:numRef>
              <c:f>Adv.ExcelSheet!$AZ$52:$AZ$54</c:f>
              <c:numCache>
                <c:formatCode>General</c:formatCode>
                <c:ptCount val="2"/>
                <c:pt idx="0">
                  <c:v>46050</c:v>
                </c:pt>
                <c:pt idx="1">
                  <c:v>48420</c:v>
                </c:pt>
              </c:numCache>
            </c:numRef>
          </c:val>
          <c:extLst>
            <c:ext xmlns:c16="http://schemas.microsoft.com/office/drawing/2014/chart" uri="{C3380CC4-5D6E-409C-BE32-E72D297353CC}">
              <c16:uniqueId val="{00000000-ED2C-43C2-837E-2676C1C9EAB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[Adv.ExcelWorkbook.xlsx]Adv.ExcelSheet!PivotTable8</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Adv.ExcelSheet!$D$54</c:f>
              <c:strCache>
                <c:ptCount val="1"/>
                <c:pt idx="0">
                  <c:v>Sum of Sales</c:v>
                </c:pt>
              </c:strCache>
            </c:strRef>
          </c:tx>
          <c:spPr>
            <a:ln w="28575" cap="rnd">
              <a:solidFill>
                <a:schemeClr val="accent1"/>
              </a:solidFill>
              <a:round/>
            </a:ln>
            <a:effectLst/>
          </c:spPr>
          <c:marker>
            <c:symbol val="none"/>
          </c:marker>
          <c:cat>
            <c:strRef>
              <c:f>Adv.ExcelSheet!$C$55:$C$105</c:f>
              <c:strCache>
                <c:ptCount val="50"/>
                <c:pt idx="0">
                  <c:v>01-Jan</c:v>
                </c:pt>
                <c:pt idx="1">
                  <c:v>03-Jan</c:v>
                </c:pt>
                <c:pt idx="2">
                  <c:v>05-Jan</c:v>
                </c:pt>
                <c:pt idx="3">
                  <c:v>07-Jan</c:v>
                </c:pt>
                <c:pt idx="4">
                  <c:v>09-Jan</c:v>
                </c:pt>
                <c:pt idx="5">
                  <c:v>11-Jan</c:v>
                </c:pt>
                <c:pt idx="6">
                  <c:v>13-Jan</c:v>
                </c:pt>
                <c:pt idx="7">
                  <c:v>15-Jan</c:v>
                </c:pt>
                <c:pt idx="8">
                  <c:v>17-Jan</c:v>
                </c:pt>
                <c:pt idx="9">
                  <c:v>19-Jan</c:v>
                </c:pt>
                <c:pt idx="10">
                  <c:v>20-Jan</c:v>
                </c:pt>
                <c:pt idx="11">
                  <c:v>21-Jan</c:v>
                </c:pt>
                <c:pt idx="12">
                  <c:v>22-Jan</c:v>
                </c:pt>
                <c:pt idx="13">
                  <c:v>23-Jan</c:v>
                </c:pt>
                <c:pt idx="14">
                  <c:v>24-Jan</c:v>
                </c:pt>
                <c:pt idx="15">
                  <c:v>25-Jan</c:v>
                </c:pt>
                <c:pt idx="16">
                  <c:v>26-Jan</c:v>
                </c:pt>
                <c:pt idx="17">
                  <c:v>27-Jan</c:v>
                </c:pt>
                <c:pt idx="18">
                  <c:v>28-Jan</c:v>
                </c:pt>
                <c:pt idx="19">
                  <c:v>29-Jan</c:v>
                </c:pt>
                <c:pt idx="20">
                  <c:v>30-Jan</c:v>
                </c:pt>
                <c:pt idx="21">
                  <c:v>31-Jan</c:v>
                </c:pt>
                <c:pt idx="22">
                  <c:v>01-Feb</c:v>
                </c:pt>
                <c:pt idx="23">
                  <c:v>02-Feb</c:v>
                </c:pt>
                <c:pt idx="24">
                  <c:v>03-Feb</c:v>
                </c:pt>
                <c:pt idx="25">
                  <c:v>04-Feb</c:v>
                </c:pt>
                <c:pt idx="26">
                  <c:v>05-Feb</c:v>
                </c:pt>
                <c:pt idx="27">
                  <c:v>06-Feb</c:v>
                </c:pt>
                <c:pt idx="28">
                  <c:v>07-Feb</c:v>
                </c:pt>
                <c:pt idx="29">
                  <c:v>08-Feb</c:v>
                </c:pt>
                <c:pt idx="30">
                  <c:v>09-Feb</c:v>
                </c:pt>
                <c:pt idx="31">
                  <c:v>10-Feb</c:v>
                </c:pt>
                <c:pt idx="32">
                  <c:v>11-Feb</c:v>
                </c:pt>
                <c:pt idx="33">
                  <c:v>12-Feb</c:v>
                </c:pt>
                <c:pt idx="34">
                  <c:v>13-Feb</c:v>
                </c:pt>
                <c:pt idx="35">
                  <c:v>14-Feb</c:v>
                </c:pt>
                <c:pt idx="36">
                  <c:v>15-Feb</c:v>
                </c:pt>
                <c:pt idx="37">
                  <c:v>16-Feb</c:v>
                </c:pt>
                <c:pt idx="38">
                  <c:v>17-Feb</c:v>
                </c:pt>
                <c:pt idx="39">
                  <c:v>18-Feb</c:v>
                </c:pt>
                <c:pt idx="40">
                  <c:v>19-Feb</c:v>
                </c:pt>
                <c:pt idx="41">
                  <c:v>20-Feb</c:v>
                </c:pt>
                <c:pt idx="42">
                  <c:v>21-Feb</c:v>
                </c:pt>
                <c:pt idx="43">
                  <c:v>22-Feb</c:v>
                </c:pt>
                <c:pt idx="44">
                  <c:v>23-Feb</c:v>
                </c:pt>
                <c:pt idx="45">
                  <c:v>24-Feb</c:v>
                </c:pt>
                <c:pt idx="46">
                  <c:v>25-Feb</c:v>
                </c:pt>
                <c:pt idx="47">
                  <c:v>26-Feb</c:v>
                </c:pt>
                <c:pt idx="48">
                  <c:v>27-Feb</c:v>
                </c:pt>
                <c:pt idx="49">
                  <c:v>28-Feb</c:v>
                </c:pt>
              </c:strCache>
            </c:strRef>
          </c:cat>
          <c:val>
            <c:numRef>
              <c:f>Adv.ExcelSheet!$D$55:$D$105</c:f>
              <c:numCache>
                <c:formatCode>General</c:formatCode>
                <c:ptCount val="50"/>
                <c:pt idx="0">
                  <c:v>1200</c:v>
                </c:pt>
                <c:pt idx="1">
                  <c:v>150</c:v>
                </c:pt>
                <c:pt idx="2">
                  <c:v>75000</c:v>
                </c:pt>
                <c:pt idx="3">
                  <c:v>5000</c:v>
                </c:pt>
                <c:pt idx="4">
                  <c:v>300</c:v>
                </c:pt>
                <c:pt idx="5">
                  <c:v>800</c:v>
                </c:pt>
                <c:pt idx="6">
                  <c:v>2500</c:v>
                </c:pt>
                <c:pt idx="7">
                  <c:v>200</c:v>
                </c:pt>
                <c:pt idx="8">
                  <c:v>12000</c:v>
                </c:pt>
                <c:pt idx="9">
                  <c:v>15000</c:v>
                </c:pt>
                <c:pt idx="10">
                  <c:v>100</c:v>
                </c:pt>
                <c:pt idx="11">
                  <c:v>500</c:v>
                </c:pt>
                <c:pt idx="12">
                  <c:v>4000</c:v>
                </c:pt>
                <c:pt idx="13">
                  <c:v>120</c:v>
                </c:pt>
                <c:pt idx="14">
                  <c:v>9000</c:v>
                </c:pt>
                <c:pt idx="15">
                  <c:v>6000</c:v>
                </c:pt>
                <c:pt idx="16">
                  <c:v>150</c:v>
                </c:pt>
                <c:pt idx="17">
                  <c:v>800</c:v>
                </c:pt>
                <c:pt idx="18">
                  <c:v>7000</c:v>
                </c:pt>
                <c:pt idx="19">
                  <c:v>180</c:v>
                </c:pt>
                <c:pt idx="20">
                  <c:v>1500</c:v>
                </c:pt>
                <c:pt idx="21">
                  <c:v>12000</c:v>
                </c:pt>
                <c:pt idx="22">
                  <c:v>250</c:v>
                </c:pt>
                <c:pt idx="23">
                  <c:v>1200</c:v>
                </c:pt>
                <c:pt idx="24">
                  <c:v>800</c:v>
                </c:pt>
                <c:pt idx="25">
                  <c:v>100</c:v>
                </c:pt>
                <c:pt idx="26">
                  <c:v>4500</c:v>
                </c:pt>
                <c:pt idx="27">
                  <c:v>14000</c:v>
                </c:pt>
                <c:pt idx="28">
                  <c:v>50</c:v>
                </c:pt>
                <c:pt idx="29">
                  <c:v>3000</c:v>
                </c:pt>
                <c:pt idx="30">
                  <c:v>2500</c:v>
                </c:pt>
                <c:pt idx="31">
                  <c:v>80</c:v>
                </c:pt>
                <c:pt idx="32">
                  <c:v>2000</c:v>
                </c:pt>
                <c:pt idx="33">
                  <c:v>10000</c:v>
                </c:pt>
                <c:pt idx="34">
                  <c:v>150</c:v>
                </c:pt>
                <c:pt idx="35">
                  <c:v>8000</c:v>
                </c:pt>
                <c:pt idx="36">
                  <c:v>3000</c:v>
                </c:pt>
                <c:pt idx="37">
                  <c:v>50</c:v>
                </c:pt>
                <c:pt idx="38">
                  <c:v>75000</c:v>
                </c:pt>
                <c:pt idx="39">
                  <c:v>1200</c:v>
                </c:pt>
                <c:pt idx="40">
                  <c:v>300</c:v>
                </c:pt>
                <c:pt idx="41">
                  <c:v>800</c:v>
                </c:pt>
                <c:pt idx="42">
                  <c:v>2500</c:v>
                </c:pt>
                <c:pt idx="43">
                  <c:v>200</c:v>
                </c:pt>
                <c:pt idx="44">
                  <c:v>12000</c:v>
                </c:pt>
                <c:pt idx="45">
                  <c:v>15000</c:v>
                </c:pt>
                <c:pt idx="46">
                  <c:v>100</c:v>
                </c:pt>
                <c:pt idx="47">
                  <c:v>500</c:v>
                </c:pt>
                <c:pt idx="48">
                  <c:v>4000</c:v>
                </c:pt>
                <c:pt idx="49">
                  <c:v>120</c:v>
                </c:pt>
              </c:numCache>
            </c:numRef>
          </c:val>
          <c:smooth val="0"/>
          <c:extLst>
            <c:ext xmlns:c16="http://schemas.microsoft.com/office/drawing/2014/chart" uri="{C3380CC4-5D6E-409C-BE32-E72D297353CC}">
              <c16:uniqueId val="{00000000-1995-4055-9B0F-62345BB2C2B3}"/>
            </c:ext>
          </c:extLst>
        </c:ser>
        <c:ser>
          <c:idx val="1"/>
          <c:order val="1"/>
          <c:tx>
            <c:strRef>
              <c:f>Adv.ExcelSheet!$E$54</c:f>
              <c:strCache>
                <c:ptCount val="1"/>
                <c:pt idx="0">
                  <c:v>Sum of Profit</c:v>
                </c:pt>
              </c:strCache>
            </c:strRef>
          </c:tx>
          <c:spPr>
            <a:ln w="28575" cap="rnd">
              <a:solidFill>
                <a:schemeClr val="accent2"/>
              </a:solidFill>
              <a:round/>
            </a:ln>
            <a:effectLst/>
          </c:spPr>
          <c:marker>
            <c:symbol val="none"/>
          </c:marker>
          <c:cat>
            <c:strRef>
              <c:f>Adv.ExcelSheet!$C$55:$C$105</c:f>
              <c:strCache>
                <c:ptCount val="50"/>
                <c:pt idx="0">
                  <c:v>01-Jan</c:v>
                </c:pt>
                <c:pt idx="1">
                  <c:v>03-Jan</c:v>
                </c:pt>
                <c:pt idx="2">
                  <c:v>05-Jan</c:v>
                </c:pt>
                <c:pt idx="3">
                  <c:v>07-Jan</c:v>
                </c:pt>
                <c:pt idx="4">
                  <c:v>09-Jan</c:v>
                </c:pt>
                <c:pt idx="5">
                  <c:v>11-Jan</c:v>
                </c:pt>
                <c:pt idx="6">
                  <c:v>13-Jan</c:v>
                </c:pt>
                <c:pt idx="7">
                  <c:v>15-Jan</c:v>
                </c:pt>
                <c:pt idx="8">
                  <c:v>17-Jan</c:v>
                </c:pt>
                <c:pt idx="9">
                  <c:v>19-Jan</c:v>
                </c:pt>
                <c:pt idx="10">
                  <c:v>20-Jan</c:v>
                </c:pt>
                <c:pt idx="11">
                  <c:v>21-Jan</c:v>
                </c:pt>
                <c:pt idx="12">
                  <c:v>22-Jan</c:v>
                </c:pt>
                <c:pt idx="13">
                  <c:v>23-Jan</c:v>
                </c:pt>
                <c:pt idx="14">
                  <c:v>24-Jan</c:v>
                </c:pt>
                <c:pt idx="15">
                  <c:v>25-Jan</c:v>
                </c:pt>
                <c:pt idx="16">
                  <c:v>26-Jan</c:v>
                </c:pt>
                <c:pt idx="17">
                  <c:v>27-Jan</c:v>
                </c:pt>
                <c:pt idx="18">
                  <c:v>28-Jan</c:v>
                </c:pt>
                <c:pt idx="19">
                  <c:v>29-Jan</c:v>
                </c:pt>
                <c:pt idx="20">
                  <c:v>30-Jan</c:v>
                </c:pt>
                <c:pt idx="21">
                  <c:v>31-Jan</c:v>
                </c:pt>
                <c:pt idx="22">
                  <c:v>01-Feb</c:v>
                </c:pt>
                <c:pt idx="23">
                  <c:v>02-Feb</c:v>
                </c:pt>
                <c:pt idx="24">
                  <c:v>03-Feb</c:v>
                </c:pt>
                <c:pt idx="25">
                  <c:v>04-Feb</c:v>
                </c:pt>
                <c:pt idx="26">
                  <c:v>05-Feb</c:v>
                </c:pt>
                <c:pt idx="27">
                  <c:v>06-Feb</c:v>
                </c:pt>
                <c:pt idx="28">
                  <c:v>07-Feb</c:v>
                </c:pt>
                <c:pt idx="29">
                  <c:v>08-Feb</c:v>
                </c:pt>
                <c:pt idx="30">
                  <c:v>09-Feb</c:v>
                </c:pt>
                <c:pt idx="31">
                  <c:v>10-Feb</c:v>
                </c:pt>
                <c:pt idx="32">
                  <c:v>11-Feb</c:v>
                </c:pt>
                <c:pt idx="33">
                  <c:v>12-Feb</c:v>
                </c:pt>
                <c:pt idx="34">
                  <c:v>13-Feb</c:v>
                </c:pt>
                <c:pt idx="35">
                  <c:v>14-Feb</c:v>
                </c:pt>
                <c:pt idx="36">
                  <c:v>15-Feb</c:v>
                </c:pt>
                <c:pt idx="37">
                  <c:v>16-Feb</c:v>
                </c:pt>
                <c:pt idx="38">
                  <c:v>17-Feb</c:v>
                </c:pt>
                <c:pt idx="39">
                  <c:v>18-Feb</c:v>
                </c:pt>
                <c:pt idx="40">
                  <c:v>19-Feb</c:v>
                </c:pt>
                <c:pt idx="41">
                  <c:v>20-Feb</c:v>
                </c:pt>
                <c:pt idx="42">
                  <c:v>21-Feb</c:v>
                </c:pt>
                <c:pt idx="43">
                  <c:v>22-Feb</c:v>
                </c:pt>
                <c:pt idx="44">
                  <c:v>23-Feb</c:v>
                </c:pt>
                <c:pt idx="45">
                  <c:v>24-Feb</c:v>
                </c:pt>
                <c:pt idx="46">
                  <c:v>25-Feb</c:v>
                </c:pt>
                <c:pt idx="47">
                  <c:v>26-Feb</c:v>
                </c:pt>
                <c:pt idx="48">
                  <c:v>27-Feb</c:v>
                </c:pt>
                <c:pt idx="49">
                  <c:v>28-Feb</c:v>
                </c:pt>
              </c:strCache>
            </c:strRef>
          </c:cat>
          <c:val>
            <c:numRef>
              <c:f>Adv.ExcelSheet!$E$55:$E$105</c:f>
              <c:numCache>
                <c:formatCode>General</c:formatCode>
                <c:ptCount val="50"/>
                <c:pt idx="0">
                  <c:v>360</c:v>
                </c:pt>
                <c:pt idx="1">
                  <c:v>45</c:v>
                </c:pt>
                <c:pt idx="2">
                  <c:v>22500</c:v>
                </c:pt>
                <c:pt idx="3">
                  <c:v>1500</c:v>
                </c:pt>
                <c:pt idx="4">
                  <c:v>90</c:v>
                </c:pt>
                <c:pt idx="5">
                  <c:v>240</c:v>
                </c:pt>
                <c:pt idx="6">
                  <c:v>750</c:v>
                </c:pt>
                <c:pt idx="7">
                  <c:v>60</c:v>
                </c:pt>
                <c:pt idx="8">
                  <c:v>3600</c:v>
                </c:pt>
                <c:pt idx="9">
                  <c:v>4500</c:v>
                </c:pt>
                <c:pt idx="10">
                  <c:v>30</c:v>
                </c:pt>
                <c:pt idx="11">
                  <c:v>150</c:v>
                </c:pt>
                <c:pt idx="12">
                  <c:v>1200</c:v>
                </c:pt>
                <c:pt idx="13">
                  <c:v>36</c:v>
                </c:pt>
                <c:pt idx="14">
                  <c:v>2700</c:v>
                </c:pt>
                <c:pt idx="15">
                  <c:v>1800</c:v>
                </c:pt>
                <c:pt idx="16">
                  <c:v>45</c:v>
                </c:pt>
                <c:pt idx="17">
                  <c:v>240</c:v>
                </c:pt>
                <c:pt idx="18">
                  <c:v>2100</c:v>
                </c:pt>
                <c:pt idx="19">
                  <c:v>54.000000000000014</c:v>
                </c:pt>
                <c:pt idx="20">
                  <c:v>450</c:v>
                </c:pt>
                <c:pt idx="21">
                  <c:v>3600</c:v>
                </c:pt>
                <c:pt idx="22">
                  <c:v>75</c:v>
                </c:pt>
                <c:pt idx="23">
                  <c:v>360</c:v>
                </c:pt>
                <c:pt idx="24">
                  <c:v>240</c:v>
                </c:pt>
                <c:pt idx="25">
                  <c:v>30</c:v>
                </c:pt>
                <c:pt idx="26">
                  <c:v>1350</c:v>
                </c:pt>
                <c:pt idx="27">
                  <c:v>4200</c:v>
                </c:pt>
                <c:pt idx="28">
                  <c:v>15</c:v>
                </c:pt>
                <c:pt idx="29">
                  <c:v>900</c:v>
                </c:pt>
                <c:pt idx="30">
                  <c:v>750</c:v>
                </c:pt>
                <c:pt idx="31">
                  <c:v>24</c:v>
                </c:pt>
                <c:pt idx="32">
                  <c:v>600</c:v>
                </c:pt>
                <c:pt idx="33">
                  <c:v>3000</c:v>
                </c:pt>
                <c:pt idx="34">
                  <c:v>45</c:v>
                </c:pt>
                <c:pt idx="35">
                  <c:v>2400</c:v>
                </c:pt>
                <c:pt idx="36">
                  <c:v>900</c:v>
                </c:pt>
                <c:pt idx="37">
                  <c:v>15</c:v>
                </c:pt>
                <c:pt idx="38">
                  <c:v>22500</c:v>
                </c:pt>
                <c:pt idx="39">
                  <c:v>360</c:v>
                </c:pt>
                <c:pt idx="40">
                  <c:v>90</c:v>
                </c:pt>
                <c:pt idx="41">
                  <c:v>240</c:v>
                </c:pt>
                <c:pt idx="42">
                  <c:v>750</c:v>
                </c:pt>
                <c:pt idx="43">
                  <c:v>60</c:v>
                </c:pt>
                <c:pt idx="44">
                  <c:v>3600</c:v>
                </c:pt>
                <c:pt idx="45">
                  <c:v>4500</c:v>
                </c:pt>
                <c:pt idx="46">
                  <c:v>30</c:v>
                </c:pt>
                <c:pt idx="47">
                  <c:v>150</c:v>
                </c:pt>
                <c:pt idx="48">
                  <c:v>1200</c:v>
                </c:pt>
                <c:pt idx="49">
                  <c:v>36</c:v>
                </c:pt>
              </c:numCache>
            </c:numRef>
          </c:val>
          <c:smooth val="0"/>
          <c:extLst>
            <c:ext xmlns:c16="http://schemas.microsoft.com/office/drawing/2014/chart" uri="{C3380CC4-5D6E-409C-BE32-E72D297353CC}">
              <c16:uniqueId val="{00000001-1995-4055-9B0F-62345BB2C2B3}"/>
            </c:ext>
          </c:extLst>
        </c:ser>
        <c:dLbls>
          <c:showLegendKey val="0"/>
          <c:showVal val="0"/>
          <c:showCatName val="0"/>
          <c:showSerName val="0"/>
          <c:showPercent val="0"/>
          <c:showBubbleSize val="0"/>
        </c:dLbls>
        <c:smooth val="0"/>
        <c:axId val="1340234032"/>
        <c:axId val="1340264272"/>
      </c:lineChart>
      <c:catAx>
        <c:axId val="134023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264272"/>
        <c:crosses val="autoZero"/>
        <c:auto val="1"/>
        <c:lblAlgn val="ctr"/>
        <c:lblOffset val="100"/>
        <c:noMultiLvlLbl val="0"/>
      </c:catAx>
      <c:valAx>
        <c:axId val="1340264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23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[Adv.ExcelWorkbook.xlsx]Adv.ExcelSheet!PivotTable9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Adv.ExcelSheet!$H$54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A8-4240-BE66-2CA03C7169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A8-4240-BE66-2CA03C7169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AA8-4240-BE66-2CA03C7169AF}"/>
              </c:ext>
            </c:extLst>
          </c:dPt>
          <c:cat>
            <c:strRef>
              <c:f>Adv.ExcelSheet!$G$55:$G$58</c:f>
              <c:strCache>
                <c:ptCount val="3"/>
                <c:pt idx="0">
                  <c:v>Furniture</c:v>
                </c:pt>
                <c:pt idx="1">
                  <c:v>Office Supplies</c:v>
                </c:pt>
                <c:pt idx="2">
                  <c:v>Technology</c:v>
                </c:pt>
              </c:strCache>
            </c:strRef>
          </c:cat>
          <c:val>
            <c:numRef>
              <c:f>Adv.ExcelSheet!$H$55:$H$58</c:f>
              <c:numCache>
                <c:formatCode>General</c:formatCode>
                <c:ptCount val="3"/>
                <c:pt idx="0">
                  <c:v>105700</c:v>
                </c:pt>
                <c:pt idx="1">
                  <c:v>2600</c:v>
                </c:pt>
                <c:pt idx="2">
                  <c:v>206600</c:v>
                </c:pt>
              </c:numCache>
            </c:numRef>
          </c:val>
          <c:extLst>
            <c:ext xmlns:c16="http://schemas.microsoft.com/office/drawing/2014/chart" uri="{C3380CC4-5D6E-409C-BE32-E72D297353CC}">
              <c16:uniqueId val="{00000000-D6DF-499F-8235-DEA1814D8E3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[Adv.ExcelWorkbook.xlsx]Adv.ExcelSheet!PivotTable10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Adv.ExcelSheet!$H$60</c:f>
              <c:strCache>
                <c:ptCount val="1"/>
                <c:pt idx="0">
                  <c:v>Total</c:v>
                </c:pt>
              </c:strCache>
            </c:strRef>
          </c:tx>
          <c:spPr>
            <a:solidFill>
              <a:schemeClr val="accent1"/>
            </a:solidFill>
            <a:ln>
              <a:noFill/>
            </a:ln>
            <a:effectLst/>
          </c:spPr>
          <c:invertIfNegative val="0"/>
          <c:cat>
            <c:strRef>
              <c:f>Adv.ExcelSheet!$G$61:$G$65</c:f>
              <c:strCache>
                <c:ptCount val="4"/>
                <c:pt idx="0">
                  <c:v>South</c:v>
                </c:pt>
                <c:pt idx="1">
                  <c:v>West</c:v>
                </c:pt>
                <c:pt idx="2">
                  <c:v>East</c:v>
                </c:pt>
                <c:pt idx="3">
                  <c:v>North</c:v>
                </c:pt>
              </c:strCache>
            </c:strRef>
          </c:cat>
          <c:val>
            <c:numRef>
              <c:f>Adv.ExcelSheet!$H$61:$H$65</c:f>
              <c:numCache>
                <c:formatCode>General</c:formatCode>
                <c:ptCount val="4"/>
                <c:pt idx="0">
                  <c:v>178600</c:v>
                </c:pt>
                <c:pt idx="1">
                  <c:v>57940</c:v>
                </c:pt>
                <c:pt idx="2">
                  <c:v>41300</c:v>
                </c:pt>
                <c:pt idx="3">
                  <c:v>37060</c:v>
                </c:pt>
              </c:numCache>
            </c:numRef>
          </c:val>
          <c:extLst>
            <c:ext xmlns:c16="http://schemas.microsoft.com/office/drawing/2014/chart" uri="{C3380CC4-5D6E-409C-BE32-E72D297353CC}">
              <c16:uniqueId val="{00000000-D6E5-4F74-AD48-A527F89C3A93}"/>
            </c:ext>
          </c:extLst>
        </c:ser>
        <c:dLbls>
          <c:showLegendKey val="0"/>
          <c:showVal val="0"/>
          <c:showCatName val="0"/>
          <c:showSerName val="0"/>
          <c:showPercent val="0"/>
          <c:showBubbleSize val="0"/>
        </c:dLbls>
        <c:gapWidth val="219"/>
        <c:overlap val="-27"/>
        <c:axId val="1176897600"/>
        <c:axId val="1176893280"/>
      </c:barChart>
      <c:catAx>
        <c:axId val="117689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893280"/>
        <c:crosses val="autoZero"/>
        <c:auto val="1"/>
        <c:lblAlgn val="ctr"/>
        <c:lblOffset val="100"/>
        <c:noMultiLvlLbl val="0"/>
      </c:catAx>
      <c:valAx>
        <c:axId val="1176893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89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[Adv.ExcelWorkbook.xlsx]Adv.ExcelSheet!PivotTable11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Adv.ExcelSheet!$H$68</c:f>
              <c:strCache>
                <c:ptCount val="1"/>
                <c:pt idx="0">
                  <c:v>Total</c:v>
                </c:pt>
              </c:strCache>
            </c:strRef>
          </c:tx>
          <c:spPr>
            <a:solidFill>
              <a:schemeClr val="accent1"/>
            </a:solidFill>
            <a:ln>
              <a:noFill/>
            </a:ln>
            <a:effectLst/>
          </c:spPr>
          <c:invertIfNegative val="0"/>
          <c:cat>
            <c:strRef>
              <c:f>Adv.ExcelSheet!$G$69:$G$79</c:f>
              <c:strCache>
                <c:ptCount val="10"/>
                <c:pt idx="0">
                  <c:v>Cabinet</c:v>
                </c:pt>
                <c:pt idx="1">
                  <c:v>Bookcase</c:v>
                </c:pt>
                <c:pt idx="2">
                  <c:v>Projector</c:v>
                </c:pt>
                <c:pt idx="3">
                  <c:v>Monitor</c:v>
                </c:pt>
                <c:pt idx="4">
                  <c:v>Bed Frame</c:v>
                </c:pt>
                <c:pt idx="5">
                  <c:v>Wardrobe</c:v>
                </c:pt>
                <c:pt idx="6">
                  <c:v>Couch</c:v>
                </c:pt>
                <c:pt idx="7">
                  <c:v>Printer</c:v>
                </c:pt>
                <c:pt idx="8">
                  <c:v>Sofa</c:v>
                </c:pt>
                <c:pt idx="9">
                  <c:v>Laptop</c:v>
                </c:pt>
              </c:strCache>
            </c:strRef>
          </c:cat>
          <c:val>
            <c:numRef>
              <c:f>Adv.ExcelSheet!$H$69:$H$79</c:f>
              <c:numCache>
                <c:formatCode>General</c:formatCode>
                <c:ptCount val="10"/>
                <c:pt idx="0">
                  <c:v>7500</c:v>
                </c:pt>
                <c:pt idx="1">
                  <c:v>8000</c:v>
                </c:pt>
                <c:pt idx="2">
                  <c:v>8000</c:v>
                </c:pt>
                <c:pt idx="3">
                  <c:v>9000</c:v>
                </c:pt>
                <c:pt idx="4">
                  <c:v>10000</c:v>
                </c:pt>
                <c:pt idx="5">
                  <c:v>12000</c:v>
                </c:pt>
                <c:pt idx="6">
                  <c:v>14000</c:v>
                </c:pt>
                <c:pt idx="7">
                  <c:v>24000</c:v>
                </c:pt>
                <c:pt idx="8">
                  <c:v>30000</c:v>
                </c:pt>
                <c:pt idx="9">
                  <c:v>150000</c:v>
                </c:pt>
              </c:numCache>
            </c:numRef>
          </c:val>
          <c:extLst>
            <c:ext xmlns:c16="http://schemas.microsoft.com/office/drawing/2014/chart" uri="{C3380CC4-5D6E-409C-BE32-E72D297353CC}">
              <c16:uniqueId val="{00000000-9B28-4F33-BC03-F23FD3D8041C}"/>
            </c:ext>
          </c:extLst>
        </c:ser>
        <c:dLbls>
          <c:showLegendKey val="0"/>
          <c:showVal val="0"/>
          <c:showCatName val="0"/>
          <c:showSerName val="0"/>
          <c:showPercent val="0"/>
          <c:showBubbleSize val="0"/>
        </c:dLbls>
        <c:gapWidth val="182"/>
        <c:axId val="1176909600"/>
        <c:axId val="1176910080"/>
      </c:barChart>
      <c:catAx>
        <c:axId val="1176909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910080"/>
        <c:crosses val="autoZero"/>
        <c:auto val="1"/>
        <c:lblAlgn val="ctr"/>
        <c:lblOffset val="100"/>
        <c:noMultiLvlLbl val="0"/>
      </c:catAx>
      <c:valAx>
        <c:axId val="1176910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90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[Adv.ExcelWorkbook.xlsx]Adv.ExcelSheet!PivotTable12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Adv.ExcelSheet!$H$81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DA-4C25-A7EB-167003D356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DA-4C25-A7EB-167003D3561E}"/>
              </c:ext>
            </c:extLst>
          </c:dPt>
          <c:cat>
            <c:strRef>
              <c:f>Adv.ExcelSheet!$G$82:$G$84</c:f>
              <c:strCache>
                <c:ptCount val="2"/>
                <c:pt idx="0">
                  <c:v>Delayed</c:v>
                </c:pt>
                <c:pt idx="1">
                  <c:v>Delivered</c:v>
                </c:pt>
              </c:strCache>
            </c:strRef>
          </c:cat>
          <c:val>
            <c:numRef>
              <c:f>Adv.ExcelSheet!$H$82:$H$84</c:f>
              <c:numCache>
                <c:formatCode>General</c:formatCode>
                <c:ptCount val="2"/>
                <c:pt idx="0">
                  <c:v>25</c:v>
                </c:pt>
                <c:pt idx="1">
                  <c:v>25</c:v>
                </c:pt>
              </c:numCache>
            </c:numRef>
          </c:val>
          <c:extLst>
            <c:ext xmlns:c16="http://schemas.microsoft.com/office/drawing/2014/chart" uri="{C3380CC4-5D6E-409C-BE32-E72D297353CC}">
              <c16:uniqueId val="{00000000-2F0B-4631-9A56-F9B07CFC49B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[Adv.ExcelWorkbook.xlsx]Adv.ExcelSheet!PivotTable8</c:name>
    <c:fmtId val="3"/>
  </c:pivotSource>
  <c:chart>
    <c:title>
      <c:tx>
        <c:rich>
          <a:bodyPr rot="0" spcFirstLastPara="1" vertOverflow="ellipsis" vert="horz" wrap="square" anchor="ctr" anchorCtr="1"/>
          <a:lstStyle/>
          <a:p>
            <a:pPr>
              <a:defRPr sz="1400" b="1" i="1" u="none" strike="noStrike" kern="1200" spc="0" baseline="0">
                <a:solidFill>
                  <a:schemeClr val="bg1"/>
                </a:solidFill>
                <a:latin typeface="+mn-lt"/>
                <a:ea typeface="+mn-ea"/>
                <a:cs typeface="+mn-cs"/>
              </a:defRPr>
            </a:pPr>
            <a:r>
              <a:rPr lang="en-IN" sz="1400" b="1" i="1" u="none" strike="noStrike" baseline="0"/>
              <a:t>SALES &amp; PROFIT TREND</a:t>
            </a:r>
            <a:endParaRPr lang="en-IN" b="1" i="1"/>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pivotFmt>
    </c:pivotFmts>
    <c:plotArea>
      <c:layout/>
      <c:lineChart>
        <c:grouping val="standard"/>
        <c:varyColors val="0"/>
        <c:ser>
          <c:idx val="0"/>
          <c:order val="0"/>
          <c:tx>
            <c:strRef>
              <c:f>Adv.ExcelSheet!$D$54</c:f>
              <c:strCache>
                <c:ptCount val="1"/>
                <c:pt idx="0">
                  <c:v>Sum of Sales</c:v>
                </c:pt>
              </c:strCache>
            </c:strRef>
          </c:tx>
          <c:spPr>
            <a:ln w="28575" cap="rnd">
              <a:solidFill>
                <a:schemeClr val="accent1"/>
              </a:solidFill>
              <a:round/>
            </a:ln>
            <a:effectLst/>
          </c:spPr>
          <c:marker>
            <c:symbol val="none"/>
          </c:marker>
          <c:dPt>
            <c:idx val="2"/>
            <c:marker>
              <c:symbol val="none"/>
            </c:marker>
            <c:bubble3D val="0"/>
            <c:extLst>
              <c:ext xmlns:c16="http://schemas.microsoft.com/office/drawing/2014/chart" uri="{C3380CC4-5D6E-409C-BE32-E72D297353CC}">
                <c16:uniqueId val="{00000000-3335-4E5A-8A72-71D73601286D}"/>
              </c:ext>
            </c:extLst>
          </c:dPt>
          <c:cat>
            <c:strRef>
              <c:f>Adv.ExcelSheet!$C$55:$C$105</c:f>
              <c:strCache>
                <c:ptCount val="50"/>
                <c:pt idx="0">
                  <c:v>01-Jan</c:v>
                </c:pt>
                <c:pt idx="1">
                  <c:v>03-Jan</c:v>
                </c:pt>
                <c:pt idx="2">
                  <c:v>05-Jan</c:v>
                </c:pt>
                <c:pt idx="3">
                  <c:v>07-Jan</c:v>
                </c:pt>
                <c:pt idx="4">
                  <c:v>09-Jan</c:v>
                </c:pt>
                <c:pt idx="5">
                  <c:v>11-Jan</c:v>
                </c:pt>
                <c:pt idx="6">
                  <c:v>13-Jan</c:v>
                </c:pt>
                <c:pt idx="7">
                  <c:v>15-Jan</c:v>
                </c:pt>
                <c:pt idx="8">
                  <c:v>17-Jan</c:v>
                </c:pt>
                <c:pt idx="9">
                  <c:v>19-Jan</c:v>
                </c:pt>
                <c:pt idx="10">
                  <c:v>20-Jan</c:v>
                </c:pt>
                <c:pt idx="11">
                  <c:v>21-Jan</c:v>
                </c:pt>
                <c:pt idx="12">
                  <c:v>22-Jan</c:v>
                </c:pt>
                <c:pt idx="13">
                  <c:v>23-Jan</c:v>
                </c:pt>
                <c:pt idx="14">
                  <c:v>24-Jan</c:v>
                </c:pt>
                <c:pt idx="15">
                  <c:v>25-Jan</c:v>
                </c:pt>
                <c:pt idx="16">
                  <c:v>26-Jan</c:v>
                </c:pt>
                <c:pt idx="17">
                  <c:v>27-Jan</c:v>
                </c:pt>
                <c:pt idx="18">
                  <c:v>28-Jan</c:v>
                </c:pt>
                <c:pt idx="19">
                  <c:v>29-Jan</c:v>
                </c:pt>
                <c:pt idx="20">
                  <c:v>30-Jan</c:v>
                </c:pt>
                <c:pt idx="21">
                  <c:v>31-Jan</c:v>
                </c:pt>
                <c:pt idx="22">
                  <c:v>01-Feb</c:v>
                </c:pt>
                <c:pt idx="23">
                  <c:v>02-Feb</c:v>
                </c:pt>
                <c:pt idx="24">
                  <c:v>03-Feb</c:v>
                </c:pt>
                <c:pt idx="25">
                  <c:v>04-Feb</c:v>
                </c:pt>
                <c:pt idx="26">
                  <c:v>05-Feb</c:v>
                </c:pt>
                <c:pt idx="27">
                  <c:v>06-Feb</c:v>
                </c:pt>
                <c:pt idx="28">
                  <c:v>07-Feb</c:v>
                </c:pt>
                <c:pt idx="29">
                  <c:v>08-Feb</c:v>
                </c:pt>
                <c:pt idx="30">
                  <c:v>09-Feb</c:v>
                </c:pt>
                <c:pt idx="31">
                  <c:v>10-Feb</c:v>
                </c:pt>
                <c:pt idx="32">
                  <c:v>11-Feb</c:v>
                </c:pt>
                <c:pt idx="33">
                  <c:v>12-Feb</c:v>
                </c:pt>
                <c:pt idx="34">
                  <c:v>13-Feb</c:v>
                </c:pt>
                <c:pt idx="35">
                  <c:v>14-Feb</c:v>
                </c:pt>
                <c:pt idx="36">
                  <c:v>15-Feb</c:v>
                </c:pt>
                <c:pt idx="37">
                  <c:v>16-Feb</c:v>
                </c:pt>
                <c:pt idx="38">
                  <c:v>17-Feb</c:v>
                </c:pt>
                <c:pt idx="39">
                  <c:v>18-Feb</c:v>
                </c:pt>
                <c:pt idx="40">
                  <c:v>19-Feb</c:v>
                </c:pt>
                <c:pt idx="41">
                  <c:v>20-Feb</c:v>
                </c:pt>
                <c:pt idx="42">
                  <c:v>21-Feb</c:v>
                </c:pt>
                <c:pt idx="43">
                  <c:v>22-Feb</c:v>
                </c:pt>
                <c:pt idx="44">
                  <c:v>23-Feb</c:v>
                </c:pt>
                <c:pt idx="45">
                  <c:v>24-Feb</c:v>
                </c:pt>
                <c:pt idx="46">
                  <c:v>25-Feb</c:v>
                </c:pt>
                <c:pt idx="47">
                  <c:v>26-Feb</c:v>
                </c:pt>
                <c:pt idx="48">
                  <c:v>27-Feb</c:v>
                </c:pt>
                <c:pt idx="49">
                  <c:v>28-Feb</c:v>
                </c:pt>
              </c:strCache>
            </c:strRef>
          </c:cat>
          <c:val>
            <c:numRef>
              <c:f>Adv.ExcelSheet!$D$55:$D$105</c:f>
              <c:numCache>
                <c:formatCode>General</c:formatCode>
                <c:ptCount val="50"/>
                <c:pt idx="0">
                  <c:v>1200</c:v>
                </c:pt>
                <c:pt idx="1">
                  <c:v>150</c:v>
                </c:pt>
                <c:pt idx="2">
                  <c:v>75000</c:v>
                </c:pt>
                <c:pt idx="3">
                  <c:v>5000</c:v>
                </c:pt>
                <c:pt idx="4">
                  <c:v>300</c:v>
                </c:pt>
                <c:pt idx="5">
                  <c:v>800</c:v>
                </c:pt>
                <c:pt idx="6">
                  <c:v>2500</c:v>
                </c:pt>
                <c:pt idx="7">
                  <c:v>200</c:v>
                </c:pt>
                <c:pt idx="8">
                  <c:v>12000</c:v>
                </c:pt>
                <c:pt idx="9">
                  <c:v>15000</c:v>
                </c:pt>
                <c:pt idx="10">
                  <c:v>100</c:v>
                </c:pt>
                <c:pt idx="11">
                  <c:v>500</c:v>
                </c:pt>
                <c:pt idx="12">
                  <c:v>4000</c:v>
                </c:pt>
                <c:pt idx="13">
                  <c:v>120</c:v>
                </c:pt>
                <c:pt idx="14">
                  <c:v>9000</c:v>
                </c:pt>
                <c:pt idx="15">
                  <c:v>6000</c:v>
                </c:pt>
                <c:pt idx="16">
                  <c:v>150</c:v>
                </c:pt>
                <c:pt idx="17">
                  <c:v>800</c:v>
                </c:pt>
                <c:pt idx="18">
                  <c:v>7000</c:v>
                </c:pt>
                <c:pt idx="19">
                  <c:v>180</c:v>
                </c:pt>
                <c:pt idx="20">
                  <c:v>1500</c:v>
                </c:pt>
                <c:pt idx="21">
                  <c:v>12000</c:v>
                </c:pt>
                <c:pt idx="22">
                  <c:v>250</c:v>
                </c:pt>
                <c:pt idx="23">
                  <c:v>1200</c:v>
                </c:pt>
                <c:pt idx="24">
                  <c:v>800</c:v>
                </c:pt>
                <c:pt idx="25">
                  <c:v>100</c:v>
                </c:pt>
                <c:pt idx="26">
                  <c:v>4500</c:v>
                </c:pt>
                <c:pt idx="27">
                  <c:v>14000</c:v>
                </c:pt>
                <c:pt idx="28">
                  <c:v>50</c:v>
                </c:pt>
                <c:pt idx="29">
                  <c:v>3000</c:v>
                </c:pt>
                <c:pt idx="30">
                  <c:v>2500</c:v>
                </c:pt>
                <c:pt idx="31">
                  <c:v>80</c:v>
                </c:pt>
                <c:pt idx="32">
                  <c:v>2000</c:v>
                </c:pt>
                <c:pt idx="33">
                  <c:v>10000</c:v>
                </c:pt>
                <c:pt idx="34">
                  <c:v>150</c:v>
                </c:pt>
                <c:pt idx="35">
                  <c:v>8000</c:v>
                </c:pt>
                <c:pt idx="36">
                  <c:v>3000</c:v>
                </c:pt>
                <c:pt idx="37">
                  <c:v>50</c:v>
                </c:pt>
                <c:pt idx="38">
                  <c:v>75000</c:v>
                </c:pt>
                <c:pt idx="39">
                  <c:v>1200</c:v>
                </c:pt>
                <c:pt idx="40">
                  <c:v>300</c:v>
                </c:pt>
                <c:pt idx="41">
                  <c:v>800</c:v>
                </c:pt>
                <c:pt idx="42">
                  <c:v>2500</c:v>
                </c:pt>
                <c:pt idx="43">
                  <c:v>200</c:v>
                </c:pt>
                <c:pt idx="44">
                  <c:v>12000</c:v>
                </c:pt>
                <c:pt idx="45">
                  <c:v>15000</c:v>
                </c:pt>
                <c:pt idx="46">
                  <c:v>100</c:v>
                </c:pt>
                <c:pt idx="47">
                  <c:v>500</c:v>
                </c:pt>
                <c:pt idx="48">
                  <c:v>4000</c:v>
                </c:pt>
                <c:pt idx="49">
                  <c:v>120</c:v>
                </c:pt>
              </c:numCache>
            </c:numRef>
          </c:val>
          <c:smooth val="0"/>
          <c:extLst>
            <c:ext xmlns:c16="http://schemas.microsoft.com/office/drawing/2014/chart" uri="{C3380CC4-5D6E-409C-BE32-E72D297353CC}">
              <c16:uniqueId val="{00000000-AB62-4667-B3E9-4F2F986E4F01}"/>
            </c:ext>
          </c:extLst>
        </c:ser>
        <c:ser>
          <c:idx val="1"/>
          <c:order val="1"/>
          <c:tx>
            <c:strRef>
              <c:f>Adv.ExcelSheet!$E$54</c:f>
              <c:strCache>
                <c:ptCount val="1"/>
                <c:pt idx="0">
                  <c:v>Sum of Profit</c:v>
                </c:pt>
              </c:strCache>
            </c:strRef>
          </c:tx>
          <c:spPr>
            <a:ln w="28575" cap="rnd">
              <a:solidFill>
                <a:schemeClr val="accent2"/>
              </a:solidFill>
              <a:round/>
            </a:ln>
            <a:effectLst/>
          </c:spPr>
          <c:marker>
            <c:symbol val="none"/>
          </c:marker>
          <c:cat>
            <c:strRef>
              <c:f>Adv.ExcelSheet!$C$55:$C$105</c:f>
              <c:strCache>
                <c:ptCount val="50"/>
                <c:pt idx="0">
                  <c:v>01-Jan</c:v>
                </c:pt>
                <c:pt idx="1">
                  <c:v>03-Jan</c:v>
                </c:pt>
                <c:pt idx="2">
                  <c:v>05-Jan</c:v>
                </c:pt>
                <c:pt idx="3">
                  <c:v>07-Jan</c:v>
                </c:pt>
                <c:pt idx="4">
                  <c:v>09-Jan</c:v>
                </c:pt>
                <c:pt idx="5">
                  <c:v>11-Jan</c:v>
                </c:pt>
                <c:pt idx="6">
                  <c:v>13-Jan</c:v>
                </c:pt>
                <c:pt idx="7">
                  <c:v>15-Jan</c:v>
                </c:pt>
                <c:pt idx="8">
                  <c:v>17-Jan</c:v>
                </c:pt>
                <c:pt idx="9">
                  <c:v>19-Jan</c:v>
                </c:pt>
                <c:pt idx="10">
                  <c:v>20-Jan</c:v>
                </c:pt>
                <c:pt idx="11">
                  <c:v>21-Jan</c:v>
                </c:pt>
                <c:pt idx="12">
                  <c:v>22-Jan</c:v>
                </c:pt>
                <c:pt idx="13">
                  <c:v>23-Jan</c:v>
                </c:pt>
                <c:pt idx="14">
                  <c:v>24-Jan</c:v>
                </c:pt>
                <c:pt idx="15">
                  <c:v>25-Jan</c:v>
                </c:pt>
                <c:pt idx="16">
                  <c:v>26-Jan</c:v>
                </c:pt>
                <c:pt idx="17">
                  <c:v>27-Jan</c:v>
                </c:pt>
                <c:pt idx="18">
                  <c:v>28-Jan</c:v>
                </c:pt>
                <c:pt idx="19">
                  <c:v>29-Jan</c:v>
                </c:pt>
                <c:pt idx="20">
                  <c:v>30-Jan</c:v>
                </c:pt>
                <c:pt idx="21">
                  <c:v>31-Jan</c:v>
                </c:pt>
                <c:pt idx="22">
                  <c:v>01-Feb</c:v>
                </c:pt>
                <c:pt idx="23">
                  <c:v>02-Feb</c:v>
                </c:pt>
                <c:pt idx="24">
                  <c:v>03-Feb</c:v>
                </c:pt>
                <c:pt idx="25">
                  <c:v>04-Feb</c:v>
                </c:pt>
                <c:pt idx="26">
                  <c:v>05-Feb</c:v>
                </c:pt>
                <c:pt idx="27">
                  <c:v>06-Feb</c:v>
                </c:pt>
                <c:pt idx="28">
                  <c:v>07-Feb</c:v>
                </c:pt>
                <c:pt idx="29">
                  <c:v>08-Feb</c:v>
                </c:pt>
                <c:pt idx="30">
                  <c:v>09-Feb</c:v>
                </c:pt>
                <c:pt idx="31">
                  <c:v>10-Feb</c:v>
                </c:pt>
                <c:pt idx="32">
                  <c:v>11-Feb</c:v>
                </c:pt>
                <c:pt idx="33">
                  <c:v>12-Feb</c:v>
                </c:pt>
                <c:pt idx="34">
                  <c:v>13-Feb</c:v>
                </c:pt>
                <c:pt idx="35">
                  <c:v>14-Feb</c:v>
                </c:pt>
                <c:pt idx="36">
                  <c:v>15-Feb</c:v>
                </c:pt>
                <c:pt idx="37">
                  <c:v>16-Feb</c:v>
                </c:pt>
                <c:pt idx="38">
                  <c:v>17-Feb</c:v>
                </c:pt>
                <c:pt idx="39">
                  <c:v>18-Feb</c:v>
                </c:pt>
                <c:pt idx="40">
                  <c:v>19-Feb</c:v>
                </c:pt>
                <c:pt idx="41">
                  <c:v>20-Feb</c:v>
                </c:pt>
                <c:pt idx="42">
                  <c:v>21-Feb</c:v>
                </c:pt>
                <c:pt idx="43">
                  <c:v>22-Feb</c:v>
                </c:pt>
                <c:pt idx="44">
                  <c:v>23-Feb</c:v>
                </c:pt>
                <c:pt idx="45">
                  <c:v>24-Feb</c:v>
                </c:pt>
                <c:pt idx="46">
                  <c:v>25-Feb</c:v>
                </c:pt>
                <c:pt idx="47">
                  <c:v>26-Feb</c:v>
                </c:pt>
                <c:pt idx="48">
                  <c:v>27-Feb</c:v>
                </c:pt>
                <c:pt idx="49">
                  <c:v>28-Feb</c:v>
                </c:pt>
              </c:strCache>
            </c:strRef>
          </c:cat>
          <c:val>
            <c:numRef>
              <c:f>Adv.ExcelSheet!$E$55:$E$105</c:f>
              <c:numCache>
                <c:formatCode>General</c:formatCode>
                <c:ptCount val="50"/>
                <c:pt idx="0">
                  <c:v>360</c:v>
                </c:pt>
                <c:pt idx="1">
                  <c:v>45</c:v>
                </c:pt>
                <c:pt idx="2">
                  <c:v>22500</c:v>
                </c:pt>
                <c:pt idx="3">
                  <c:v>1500</c:v>
                </c:pt>
                <c:pt idx="4">
                  <c:v>90</c:v>
                </c:pt>
                <c:pt idx="5">
                  <c:v>240</c:v>
                </c:pt>
                <c:pt idx="6">
                  <c:v>750</c:v>
                </c:pt>
                <c:pt idx="7">
                  <c:v>60</c:v>
                </c:pt>
                <c:pt idx="8">
                  <c:v>3600</c:v>
                </c:pt>
                <c:pt idx="9">
                  <c:v>4500</c:v>
                </c:pt>
                <c:pt idx="10">
                  <c:v>30</c:v>
                </c:pt>
                <c:pt idx="11">
                  <c:v>150</c:v>
                </c:pt>
                <c:pt idx="12">
                  <c:v>1200</c:v>
                </c:pt>
                <c:pt idx="13">
                  <c:v>36</c:v>
                </c:pt>
                <c:pt idx="14">
                  <c:v>2700</c:v>
                </c:pt>
                <c:pt idx="15">
                  <c:v>1800</c:v>
                </c:pt>
                <c:pt idx="16">
                  <c:v>45</c:v>
                </c:pt>
                <c:pt idx="17">
                  <c:v>240</c:v>
                </c:pt>
                <c:pt idx="18">
                  <c:v>2100</c:v>
                </c:pt>
                <c:pt idx="19">
                  <c:v>54.000000000000014</c:v>
                </c:pt>
                <c:pt idx="20">
                  <c:v>450</c:v>
                </c:pt>
                <c:pt idx="21">
                  <c:v>3600</c:v>
                </c:pt>
                <c:pt idx="22">
                  <c:v>75</c:v>
                </c:pt>
                <c:pt idx="23">
                  <c:v>360</c:v>
                </c:pt>
                <c:pt idx="24">
                  <c:v>240</c:v>
                </c:pt>
                <c:pt idx="25">
                  <c:v>30</c:v>
                </c:pt>
                <c:pt idx="26">
                  <c:v>1350</c:v>
                </c:pt>
                <c:pt idx="27">
                  <c:v>4200</c:v>
                </c:pt>
                <c:pt idx="28">
                  <c:v>15</c:v>
                </c:pt>
                <c:pt idx="29">
                  <c:v>900</c:v>
                </c:pt>
                <c:pt idx="30">
                  <c:v>750</c:v>
                </c:pt>
                <c:pt idx="31">
                  <c:v>24</c:v>
                </c:pt>
                <c:pt idx="32">
                  <c:v>600</c:v>
                </c:pt>
                <c:pt idx="33">
                  <c:v>3000</c:v>
                </c:pt>
                <c:pt idx="34">
                  <c:v>45</c:v>
                </c:pt>
                <c:pt idx="35">
                  <c:v>2400</c:v>
                </c:pt>
                <c:pt idx="36">
                  <c:v>900</c:v>
                </c:pt>
                <c:pt idx="37">
                  <c:v>15</c:v>
                </c:pt>
                <c:pt idx="38">
                  <c:v>22500</c:v>
                </c:pt>
                <c:pt idx="39">
                  <c:v>360</c:v>
                </c:pt>
                <c:pt idx="40">
                  <c:v>90</c:v>
                </c:pt>
                <c:pt idx="41">
                  <c:v>240</c:v>
                </c:pt>
                <c:pt idx="42">
                  <c:v>750</c:v>
                </c:pt>
                <c:pt idx="43">
                  <c:v>60</c:v>
                </c:pt>
                <c:pt idx="44">
                  <c:v>3600</c:v>
                </c:pt>
                <c:pt idx="45">
                  <c:v>4500</c:v>
                </c:pt>
                <c:pt idx="46">
                  <c:v>30</c:v>
                </c:pt>
                <c:pt idx="47">
                  <c:v>150</c:v>
                </c:pt>
                <c:pt idx="48">
                  <c:v>1200</c:v>
                </c:pt>
                <c:pt idx="49">
                  <c:v>36</c:v>
                </c:pt>
              </c:numCache>
            </c:numRef>
          </c:val>
          <c:smooth val="0"/>
          <c:extLst>
            <c:ext xmlns:c16="http://schemas.microsoft.com/office/drawing/2014/chart" uri="{C3380CC4-5D6E-409C-BE32-E72D297353CC}">
              <c16:uniqueId val="{00000001-AB62-4667-B3E9-4F2F986E4F01}"/>
            </c:ext>
          </c:extLst>
        </c:ser>
        <c:dLbls>
          <c:showLegendKey val="0"/>
          <c:showVal val="0"/>
          <c:showCatName val="0"/>
          <c:showSerName val="0"/>
          <c:showPercent val="0"/>
          <c:showBubbleSize val="0"/>
        </c:dLbls>
        <c:smooth val="0"/>
        <c:axId val="1340234032"/>
        <c:axId val="1340264272"/>
      </c:lineChart>
      <c:catAx>
        <c:axId val="134023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40264272"/>
        <c:crosses val="autoZero"/>
        <c:auto val="1"/>
        <c:lblAlgn val="ctr"/>
        <c:lblOffset val="100"/>
        <c:noMultiLvlLbl val="0"/>
      </c:catAx>
      <c:valAx>
        <c:axId val="1340264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4023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[Adv.ExcelWorkbook.xlsx]Adv.ExcelSheet!PivotTable9</c:name>
    <c:fmtId val="5"/>
  </c:pivotSource>
  <c:chart>
    <c:title>
      <c:tx>
        <c:rich>
          <a:bodyPr rot="0" spcFirstLastPara="1" vertOverflow="ellipsis" vert="horz" wrap="square" anchor="ctr" anchorCtr="1"/>
          <a:lstStyle/>
          <a:p>
            <a:pPr algn="ctr" rtl="0">
              <a:defRPr lang="en-IN" sz="1400" b="1" i="1" u="none" strike="noStrike" kern="1200" spc="0" baseline="0">
                <a:solidFill>
                  <a:sysClr val="window" lastClr="FFFFFF"/>
                </a:solidFill>
                <a:latin typeface="+mn-lt"/>
                <a:ea typeface="+mn-ea"/>
                <a:cs typeface="+mn-cs"/>
              </a:defRPr>
            </a:pPr>
            <a:r>
              <a:rPr lang="en-IN" sz="1400" b="1" i="1" u="none" strike="noStrike" kern="1200" spc="0" baseline="0">
                <a:solidFill>
                  <a:sysClr val="window" lastClr="FFFFFF"/>
                </a:solidFill>
                <a:latin typeface="+mn-lt"/>
                <a:ea typeface="+mn-ea"/>
                <a:cs typeface="+mn-cs"/>
              </a:rPr>
              <a:t>SALES BY CATEGORY</a:t>
            </a:r>
          </a:p>
        </c:rich>
      </c:tx>
      <c:overlay val="0"/>
      <c:spPr>
        <a:noFill/>
        <a:ln>
          <a:noFill/>
        </a:ln>
        <a:effectLst/>
      </c:spPr>
      <c:txPr>
        <a:bodyPr rot="0" spcFirstLastPara="1" vertOverflow="ellipsis" vert="horz" wrap="square" anchor="ctr" anchorCtr="1"/>
        <a:lstStyle/>
        <a:p>
          <a:pPr algn="ctr" rtl="0">
            <a:defRPr lang="en-IN" sz="1400" b="1" i="1"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4">
              <a:lumMod val="20000"/>
              <a:lumOff val="80000"/>
            </a:schemeClr>
          </a:solidFill>
          <a:ln w="19050">
            <a:solidFill>
              <a:schemeClr val="lt1"/>
            </a:solidFill>
          </a:ln>
          <a:effectLst/>
        </c:spPr>
      </c:pivotFmt>
      <c:pivotFmt>
        <c:idx val="8"/>
        <c:spPr>
          <a:solidFill>
            <a:schemeClr val="accent6"/>
          </a:solidFill>
          <a:ln w="19050">
            <a:solidFill>
              <a:schemeClr val="lt1"/>
            </a:solidFill>
          </a:ln>
          <a:effectLst/>
        </c:spPr>
      </c:pivotFmt>
    </c:pivotFmts>
    <c:plotArea>
      <c:layout/>
      <c:pieChart>
        <c:varyColors val="1"/>
        <c:ser>
          <c:idx val="0"/>
          <c:order val="0"/>
          <c:tx>
            <c:strRef>
              <c:f>Adv.ExcelSheet!$H$54</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3A04-4722-BF05-3FB4E6F39777}"/>
              </c:ext>
            </c:extLst>
          </c:dPt>
          <c:dPt>
            <c:idx val="1"/>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3-3A04-4722-BF05-3FB4E6F39777}"/>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3A04-4722-BF05-3FB4E6F39777}"/>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Adv.ExcelSheet!$G$55:$G$58</c:f>
              <c:strCache>
                <c:ptCount val="3"/>
                <c:pt idx="0">
                  <c:v>Furniture</c:v>
                </c:pt>
                <c:pt idx="1">
                  <c:v>Office Supplies</c:v>
                </c:pt>
                <c:pt idx="2">
                  <c:v>Technology</c:v>
                </c:pt>
              </c:strCache>
            </c:strRef>
          </c:cat>
          <c:val>
            <c:numRef>
              <c:f>Adv.ExcelSheet!$H$55:$H$58</c:f>
              <c:numCache>
                <c:formatCode>General</c:formatCode>
                <c:ptCount val="3"/>
                <c:pt idx="0">
                  <c:v>105700</c:v>
                </c:pt>
                <c:pt idx="1">
                  <c:v>2600</c:v>
                </c:pt>
                <c:pt idx="2">
                  <c:v>206600</c:v>
                </c:pt>
              </c:numCache>
            </c:numRef>
          </c:val>
          <c:extLst>
            <c:ext xmlns:c16="http://schemas.microsoft.com/office/drawing/2014/chart" uri="{C3380CC4-5D6E-409C-BE32-E72D297353CC}">
              <c16:uniqueId val="{00000006-3A04-4722-BF05-3FB4E6F3977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[Adv.ExcelWorkbook.xlsx]Adv.ExcelSheet!PivotTable10</c:name>
    <c:fmtId val="3"/>
  </c:pivotSource>
  <c:chart>
    <c:title>
      <c:tx>
        <c:rich>
          <a:bodyPr rot="0" spcFirstLastPara="1" vertOverflow="ellipsis" vert="horz" wrap="square" anchor="ctr" anchorCtr="1"/>
          <a:lstStyle/>
          <a:p>
            <a:pPr algn="ctr" rtl="0">
              <a:defRPr lang="en-IN" sz="1400" b="1" i="1" u="none" strike="noStrike" kern="1200" spc="0" baseline="0">
                <a:solidFill>
                  <a:sysClr val="window" lastClr="FFFFFF"/>
                </a:solidFill>
                <a:latin typeface="+mn-lt"/>
                <a:ea typeface="+mn-ea"/>
                <a:cs typeface="+mn-cs"/>
              </a:defRPr>
            </a:pPr>
            <a:r>
              <a:rPr lang="en-IN" sz="1400" b="1" i="1" u="none" strike="noStrike" kern="1200" spc="0" baseline="0">
                <a:solidFill>
                  <a:sysClr val="window" lastClr="FFFFFF"/>
                </a:solidFill>
                <a:latin typeface="+mn-lt"/>
                <a:ea typeface="+mn-ea"/>
                <a:cs typeface="+mn-cs"/>
              </a:rPr>
              <a:t>REGION-WISE SALES</a:t>
            </a:r>
          </a:p>
        </c:rich>
      </c:tx>
      <c:overlay val="0"/>
      <c:spPr>
        <a:noFill/>
        <a:ln>
          <a:noFill/>
        </a:ln>
        <a:effectLst/>
      </c:spPr>
      <c:txPr>
        <a:bodyPr rot="0" spcFirstLastPara="1" vertOverflow="ellipsis" vert="horz" wrap="square" anchor="ctr" anchorCtr="1"/>
        <a:lstStyle/>
        <a:p>
          <a:pPr algn="ctr" rtl="0">
            <a:defRPr lang="en-IN" sz="1400" b="1" i="1"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Adv.ExcelSheet!$H$60</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Adv.ExcelSheet!$G$61:$G$65</c:f>
              <c:strCache>
                <c:ptCount val="4"/>
                <c:pt idx="0">
                  <c:v>South</c:v>
                </c:pt>
                <c:pt idx="1">
                  <c:v>West</c:v>
                </c:pt>
                <c:pt idx="2">
                  <c:v>East</c:v>
                </c:pt>
                <c:pt idx="3">
                  <c:v>North</c:v>
                </c:pt>
              </c:strCache>
            </c:strRef>
          </c:cat>
          <c:val>
            <c:numRef>
              <c:f>Adv.ExcelSheet!$H$61:$H$65</c:f>
              <c:numCache>
                <c:formatCode>General</c:formatCode>
                <c:ptCount val="4"/>
                <c:pt idx="0">
                  <c:v>178600</c:v>
                </c:pt>
                <c:pt idx="1">
                  <c:v>57940</c:v>
                </c:pt>
                <c:pt idx="2">
                  <c:v>41300</c:v>
                </c:pt>
                <c:pt idx="3">
                  <c:v>37060</c:v>
                </c:pt>
              </c:numCache>
            </c:numRef>
          </c:val>
          <c:extLst>
            <c:ext xmlns:c16="http://schemas.microsoft.com/office/drawing/2014/chart" uri="{C3380CC4-5D6E-409C-BE32-E72D297353CC}">
              <c16:uniqueId val="{00000000-55B7-4195-8ECC-BCB977A257CD}"/>
            </c:ext>
          </c:extLst>
        </c:ser>
        <c:dLbls>
          <c:dLblPos val="outEnd"/>
          <c:showLegendKey val="0"/>
          <c:showVal val="1"/>
          <c:showCatName val="0"/>
          <c:showSerName val="0"/>
          <c:showPercent val="0"/>
          <c:showBubbleSize val="0"/>
        </c:dLbls>
        <c:gapWidth val="219"/>
        <c:overlap val="-27"/>
        <c:axId val="1176897600"/>
        <c:axId val="1176893280"/>
      </c:barChart>
      <c:catAx>
        <c:axId val="117689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176893280"/>
        <c:crosses val="autoZero"/>
        <c:auto val="1"/>
        <c:lblAlgn val="ctr"/>
        <c:lblOffset val="100"/>
        <c:noMultiLvlLbl val="0"/>
      </c:catAx>
      <c:valAx>
        <c:axId val="1176893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176897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[Adv.ExcelWorkbook.xlsx]Adv.ExcelSheet!PivotTable11</c:name>
    <c:fmtId val="3"/>
  </c:pivotSource>
  <c:chart>
    <c:title>
      <c:tx>
        <c:rich>
          <a:bodyPr rot="0" spcFirstLastPara="1" vertOverflow="ellipsis" vert="horz" wrap="square" anchor="ctr" anchorCtr="1"/>
          <a:lstStyle/>
          <a:p>
            <a:pPr algn="ctr" rtl="0">
              <a:defRPr lang="en-IN" sz="1400" b="1" i="1" u="none" strike="noStrike" kern="1200" spc="0" baseline="0">
                <a:solidFill>
                  <a:sysClr val="window" lastClr="FFFFFF"/>
                </a:solidFill>
                <a:latin typeface="+mn-lt"/>
                <a:ea typeface="+mn-ea"/>
                <a:cs typeface="+mn-cs"/>
              </a:defRPr>
            </a:pPr>
            <a:r>
              <a:rPr lang="en-IN" sz="1400" b="1" i="1" u="none" strike="noStrike" kern="1200" spc="0" baseline="0">
                <a:solidFill>
                  <a:sysClr val="window" lastClr="FFFFFF"/>
                </a:solidFill>
                <a:latin typeface="+mn-lt"/>
                <a:ea typeface="+mn-ea"/>
                <a:cs typeface="+mn-cs"/>
              </a:rPr>
              <a:t>TOP 10 PRODUCTS BY Sales</a:t>
            </a:r>
          </a:p>
        </c:rich>
      </c:tx>
      <c:overlay val="0"/>
      <c:spPr>
        <a:noFill/>
        <a:ln>
          <a:noFill/>
        </a:ln>
        <a:effectLst/>
      </c:spPr>
      <c:txPr>
        <a:bodyPr rot="0" spcFirstLastPara="1" vertOverflow="ellipsis" vert="horz" wrap="square" anchor="ctr" anchorCtr="1"/>
        <a:lstStyle/>
        <a:p>
          <a:pPr algn="ctr" rtl="0">
            <a:defRPr lang="en-IN" sz="1400" b="1" i="1"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Adv.ExcelSheet!$H$68</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Adv.ExcelSheet!$G$69:$G$79</c:f>
              <c:strCache>
                <c:ptCount val="10"/>
                <c:pt idx="0">
                  <c:v>Cabinet</c:v>
                </c:pt>
                <c:pt idx="1">
                  <c:v>Bookcase</c:v>
                </c:pt>
                <c:pt idx="2">
                  <c:v>Projector</c:v>
                </c:pt>
                <c:pt idx="3">
                  <c:v>Monitor</c:v>
                </c:pt>
                <c:pt idx="4">
                  <c:v>Bed Frame</c:v>
                </c:pt>
                <c:pt idx="5">
                  <c:v>Wardrobe</c:v>
                </c:pt>
                <c:pt idx="6">
                  <c:v>Couch</c:v>
                </c:pt>
                <c:pt idx="7">
                  <c:v>Printer</c:v>
                </c:pt>
                <c:pt idx="8">
                  <c:v>Sofa</c:v>
                </c:pt>
                <c:pt idx="9">
                  <c:v>Laptop</c:v>
                </c:pt>
              </c:strCache>
            </c:strRef>
          </c:cat>
          <c:val>
            <c:numRef>
              <c:f>Adv.ExcelSheet!$H$69:$H$79</c:f>
              <c:numCache>
                <c:formatCode>General</c:formatCode>
                <c:ptCount val="10"/>
                <c:pt idx="0">
                  <c:v>7500</c:v>
                </c:pt>
                <c:pt idx="1">
                  <c:v>8000</c:v>
                </c:pt>
                <c:pt idx="2">
                  <c:v>8000</c:v>
                </c:pt>
                <c:pt idx="3">
                  <c:v>9000</c:v>
                </c:pt>
                <c:pt idx="4">
                  <c:v>10000</c:v>
                </c:pt>
                <c:pt idx="5">
                  <c:v>12000</c:v>
                </c:pt>
                <c:pt idx="6">
                  <c:v>14000</c:v>
                </c:pt>
                <c:pt idx="7">
                  <c:v>24000</c:v>
                </c:pt>
                <c:pt idx="8">
                  <c:v>30000</c:v>
                </c:pt>
                <c:pt idx="9">
                  <c:v>150000</c:v>
                </c:pt>
              </c:numCache>
            </c:numRef>
          </c:val>
          <c:extLst>
            <c:ext xmlns:c16="http://schemas.microsoft.com/office/drawing/2014/chart" uri="{C3380CC4-5D6E-409C-BE32-E72D297353CC}">
              <c16:uniqueId val="{00000000-C4CC-4653-85CA-57A92D59A4BF}"/>
            </c:ext>
          </c:extLst>
        </c:ser>
        <c:dLbls>
          <c:dLblPos val="outEnd"/>
          <c:showLegendKey val="0"/>
          <c:showVal val="1"/>
          <c:showCatName val="0"/>
          <c:showSerName val="0"/>
          <c:showPercent val="0"/>
          <c:showBubbleSize val="0"/>
        </c:dLbls>
        <c:gapWidth val="182"/>
        <c:axId val="1176909600"/>
        <c:axId val="1176910080"/>
      </c:barChart>
      <c:catAx>
        <c:axId val="1176909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176910080"/>
        <c:crosses val="autoZero"/>
        <c:auto val="1"/>
        <c:lblAlgn val="ctr"/>
        <c:lblOffset val="100"/>
        <c:noMultiLvlLbl val="0"/>
      </c:catAx>
      <c:valAx>
        <c:axId val="1176910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17690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[Adv.ExcelWorkbook.xlsx]Adv.ExcelSheet!PivotTable12</c:name>
    <c:fmtId val="3"/>
  </c:pivotSource>
  <c:chart>
    <c:title>
      <c:tx>
        <c:rich>
          <a:bodyPr rot="0" spcFirstLastPara="1" vertOverflow="ellipsis" vert="horz" wrap="square" anchor="ctr" anchorCtr="1"/>
          <a:lstStyle/>
          <a:p>
            <a:pPr algn="ctr" rtl="0">
              <a:defRPr lang="en-IN" sz="1400" b="1" i="1" u="none" strike="noStrike" kern="1200" spc="0" baseline="0">
                <a:solidFill>
                  <a:sysClr val="window" lastClr="FFFFFF"/>
                </a:solidFill>
                <a:latin typeface="+mn-lt"/>
                <a:ea typeface="+mn-ea"/>
                <a:cs typeface="+mn-cs"/>
              </a:defRPr>
            </a:pPr>
            <a:r>
              <a:rPr lang="en-IN" sz="1400" b="1" i="1" u="none" strike="noStrike" kern="1200" spc="0" baseline="0">
                <a:solidFill>
                  <a:sysClr val="window" lastClr="FFFFFF"/>
                </a:solidFill>
                <a:latin typeface="+mn-lt"/>
                <a:ea typeface="+mn-ea"/>
                <a:cs typeface="+mn-cs"/>
              </a:rPr>
              <a:t>DELIVERY PERFORMANCE</a:t>
            </a:r>
          </a:p>
        </c:rich>
      </c:tx>
      <c:overlay val="0"/>
      <c:spPr>
        <a:noFill/>
        <a:ln>
          <a:noFill/>
        </a:ln>
        <a:effectLst/>
      </c:spPr>
      <c:txPr>
        <a:bodyPr rot="0" spcFirstLastPara="1" vertOverflow="ellipsis" vert="horz" wrap="square" anchor="ctr" anchorCtr="1"/>
        <a:lstStyle/>
        <a:p>
          <a:pPr algn="ctr" rtl="0">
            <a:defRPr lang="en-IN" sz="1400" b="1" i="1"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Adv.ExcelSheet!$H$81</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FDF1-4A5B-BE83-5AC3A94CA3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F1-4A5B-BE83-5AC3A94CA3B4}"/>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Adv.ExcelSheet!$G$82:$G$84</c:f>
              <c:strCache>
                <c:ptCount val="2"/>
                <c:pt idx="0">
                  <c:v>Delayed</c:v>
                </c:pt>
                <c:pt idx="1">
                  <c:v>Delivered</c:v>
                </c:pt>
              </c:strCache>
            </c:strRef>
          </c:cat>
          <c:val>
            <c:numRef>
              <c:f>Adv.ExcelSheet!$H$82:$H$84</c:f>
              <c:numCache>
                <c:formatCode>General</c:formatCode>
                <c:ptCount val="2"/>
                <c:pt idx="0">
                  <c:v>25</c:v>
                </c:pt>
                <c:pt idx="1">
                  <c:v>25</c:v>
                </c:pt>
              </c:numCache>
            </c:numRef>
          </c:val>
          <c:extLst>
            <c:ext xmlns:c16="http://schemas.microsoft.com/office/drawing/2014/chart" uri="{C3380CC4-5D6E-409C-BE32-E72D297353CC}">
              <c16:uniqueId val="{00000004-FDF1-4A5B-BE83-5AC3A94CA3B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12" Type="http://schemas.openxmlformats.org/officeDocument/2006/relationships/chart" Target="../charts/chart19.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chart" Target="../charts/chart18.xml"/><Relationship Id="rId5" Type="http://schemas.openxmlformats.org/officeDocument/2006/relationships/chart" Target="../charts/chart12.xml"/><Relationship Id="rId10" Type="http://schemas.openxmlformats.org/officeDocument/2006/relationships/chart" Target="../charts/chart17.xml"/><Relationship Id="rId4" Type="http://schemas.openxmlformats.org/officeDocument/2006/relationships/chart" Target="../charts/chart11.xml"/><Relationship Id="rId9" Type="http://schemas.openxmlformats.org/officeDocument/2006/relationships/chart" Target="../charts/chart16.xml"/></Relationships>
</file>

<file path=xl/drawings/_rels/drawing3.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22.xml"/><Relationship Id="rId7" Type="http://schemas.microsoft.com/office/2007/relationships/hdphoto" Target="../media/hdphoto1.wdp"/><Relationship Id="rId12" Type="http://schemas.openxmlformats.org/officeDocument/2006/relationships/image" Target="../media/image4.png"/><Relationship Id="rId2" Type="http://schemas.openxmlformats.org/officeDocument/2006/relationships/chart" Target="../charts/chart21.xml"/><Relationship Id="rId1" Type="http://schemas.openxmlformats.org/officeDocument/2006/relationships/chart" Target="../charts/chart20.xml"/><Relationship Id="rId6" Type="http://schemas.openxmlformats.org/officeDocument/2006/relationships/image" Target="../media/image1.png"/><Relationship Id="rId11" Type="http://schemas.microsoft.com/office/2007/relationships/hdphoto" Target="../media/hdphoto3.wdp"/><Relationship Id="rId5" Type="http://schemas.openxmlformats.org/officeDocument/2006/relationships/chart" Target="../charts/chart24.xml"/><Relationship Id="rId10" Type="http://schemas.openxmlformats.org/officeDocument/2006/relationships/image" Target="../media/image3.png"/><Relationship Id="rId4" Type="http://schemas.openxmlformats.org/officeDocument/2006/relationships/chart" Target="../charts/chart23.xml"/><Relationship Id="rId9" Type="http://schemas.microsoft.com/office/2007/relationships/hdphoto" Target="../media/hdphoto2.wdp"/></Relationships>
</file>

<file path=xl/drawings/drawing1.xml><?xml version="1.0" encoding="utf-8"?>
<xdr:wsDr xmlns:xdr="http://schemas.openxmlformats.org/drawingml/2006/spreadsheetDrawing" xmlns:a="http://schemas.openxmlformats.org/drawingml/2006/main">
  <xdr:twoCellAnchor editAs="oneCell">
    <xdr:from>
      <xdr:col>30</xdr:col>
      <xdr:colOff>491490</xdr:colOff>
      <xdr:row>16</xdr:row>
      <xdr:rowOff>137161</xdr:rowOff>
    </xdr:from>
    <xdr:to>
      <xdr:col>33</xdr:col>
      <xdr:colOff>491490</xdr:colOff>
      <xdr:row>24</xdr:row>
      <xdr:rowOff>167640</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5817D8BC-6B99-49FD-B73E-3FE41C14353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779490" y="3489961"/>
              <a:ext cx="1828800" cy="1493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217170</xdr:colOff>
      <xdr:row>16</xdr:row>
      <xdr:rowOff>106681</xdr:rowOff>
    </xdr:from>
    <xdr:to>
      <xdr:col>30</xdr:col>
      <xdr:colOff>217170</xdr:colOff>
      <xdr:row>23</xdr:row>
      <xdr:rowOff>38101</xdr:rowOff>
    </xdr:to>
    <mc:AlternateContent xmlns:mc="http://schemas.openxmlformats.org/markup-compatibility/2006" xmlns:a14="http://schemas.microsoft.com/office/drawing/2010/main">
      <mc:Choice Requires="a14">
        <xdr:graphicFrame macro="">
          <xdr:nvGraphicFramePr>
            <xdr:cNvPr id="3" name="Product Category 1">
              <a:extLst>
                <a:ext uri="{FF2B5EF4-FFF2-40B4-BE49-F238E27FC236}">
                  <a16:creationId xmlns:a16="http://schemas.microsoft.com/office/drawing/2014/main" id="{4E0A8DC9-56CB-4263-B6B8-7ADD59FCB2BE}"/>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6676370" y="3459481"/>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586740</xdr:colOff>
      <xdr:row>13</xdr:row>
      <xdr:rowOff>167640</xdr:rowOff>
    </xdr:from>
    <xdr:to>
      <xdr:col>17</xdr:col>
      <xdr:colOff>22860</xdr:colOff>
      <xdr:row>28</xdr:row>
      <xdr:rowOff>0</xdr:rowOff>
    </xdr:to>
    <xdr:graphicFrame macro="">
      <xdr:nvGraphicFramePr>
        <xdr:cNvPr id="4" name="Chart 3">
          <a:extLst>
            <a:ext uri="{FF2B5EF4-FFF2-40B4-BE49-F238E27FC236}">
              <a16:creationId xmlns:a16="http://schemas.microsoft.com/office/drawing/2014/main" id="{F34B9E1F-82D8-48D3-AC51-5FA0022A8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198120</xdr:colOff>
      <xdr:row>4</xdr:row>
      <xdr:rowOff>7620</xdr:rowOff>
    </xdr:from>
    <xdr:to>
      <xdr:col>22</xdr:col>
      <xdr:colOff>7620</xdr:colOff>
      <xdr:row>14</xdr:row>
      <xdr:rowOff>68580</xdr:rowOff>
    </xdr:to>
    <xdr:graphicFrame macro="">
      <xdr:nvGraphicFramePr>
        <xdr:cNvPr id="5" name="Chart 4">
          <a:extLst>
            <a:ext uri="{FF2B5EF4-FFF2-40B4-BE49-F238E27FC236}">
              <a16:creationId xmlns:a16="http://schemas.microsoft.com/office/drawing/2014/main" id="{EB7127F4-1C13-4941-85C0-B76D21437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137160</xdr:colOff>
      <xdr:row>14</xdr:row>
      <xdr:rowOff>175260</xdr:rowOff>
    </xdr:from>
    <xdr:to>
      <xdr:col>21</xdr:col>
      <xdr:colOff>601980</xdr:colOff>
      <xdr:row>27</xdr:row>
      <xdr:rowOff>160020</xdr:rowOff>
    </xdr:to>
    <xdr:graphicFrame macro="">
      <xdr:nvGraphicFramePr>
        <xdr:cNvPr id="6" name="Chart 5">
          <a:extLst>
            <a:ext uri="{FF2B5EF4-FFF2-40B4-BE49-F238E27FC236}">
              <a16:creationId xmlns:a16="http://schemas.microsoft.com/office/drawing/2014/main" id="{434DCC74-88F1-4298-A5A3-7869F6D54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342900</xdr:colOff>
      <xdr:row>2</xdr:row>
      <xdr:rowOff>373380</xdr:rowOff>
    </xdr:from>
    <xdr:to>
      <xdr:col>14</xdr:col>
      <xdr:colOff>331470</xdr:colOff>
      <xdr:row>13</xdr:row>
      <xdr:rowOff>68580</xdr:rowOff>
    </xdr:to>
    <xdr:graphicFrame macro="">
      <xdr:nvGraphicFramePr>
        <xdr:cNvPr id="7" name="Chart 6">
          <a:extLst>
            <a:ext uri="{FF2B5EF4-FFF2-40B4-BE49-F238E27FC236}">
              <a16:creationId xmlns:a16="http://schemas.microsoft.com/office/drawing/2014/main" id="{D85B656B-82DD-4C27-AEB1-65878DCA8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53340</xdr:colOff>
      <xdr:row>3</xdr:row>
      <xdr:rowOff>129540</xdr:rowOff>
    </xdr:from>
    <xdr:to>
      <xdr:col>30</xdr:col>
      <xdr:colOff>209550</xdr:colOff>
      <xdr:row>16</xdr:row>
      <xdr:rowOff>15240</xdr:rowOff>
    </xdr:to>
    <xdr:graphicFrame macro="">
      <xdr:nvGraphicFramePr>
        <xdr:cNvPr id="8" name="Chart 7">
          <a:extLst>
            <a:ext uri="{FF2B5EF4-FFF2-40B4-BE49-F238E27FC236}">
              <a16:creationId xmlns:a16="http://schemas.microsoft.com/office/drawing/2014/main" id="{35C2985E-35DF-48EF-9E5B-03DD9CFBB3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419100</xdr:colOff>
      <xdr:row>3</xdr:row>
      <xdr:rowOff>121920</xdr:rowOff>
    </xdr:from>
    <xdr:to>
      <xdr:col>35</xdr:col>
      <xdr:colOff>60960</xdr:colOff>
      <xdr:row>16</xdr:row>
      <xdr:rowOff>15240</xdr:rowOff>
    </xdr:to>
    <xdr:graphicFrame macro="">
      <xdr:nvGraphicFramePr>
        <xdr:cNvPr id="9" name="Chart 8">
          <a:extLst>
            <a:ext uri="{FF2B5EF4-FFF2-40B4-BE49-F238E27FC236}">
              <a16:creationId xmlns:a16="http://schemas.microsoft.com/office/drawing/2014/main" id="{37BECD26-0AF2-4874-9900-6B43E13E9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53340</xdr:colOff>
      <xdr:row>13</xdr:row>
      <xdr:rowOff>129540</xdr:rowOff>
    </xdr:from>
    <xdr:to>
      <xdr:col>27</xdr:col>
      <xdr:colOff>22860</xdr:colOff>
      <xdr:row>24</xdr:row>
      <xdr:rowOff>137160</xdr:rowOff>
    </xdr:to>
    <xdr:graphicFrame macro="">
      <xdr:nvGraphicFramePr>
        <xdr:cNvPr id="10" name="Chart 9">
          <a:extLst>
            <a:ext uri="{FF2B5EF4-FFF2-40B4-BE49-F238E27FC236}">
              <a16:creationId xmlns:a16="http://schemas.microsoft.com/office/drawing/2014/main" id="{7202C48D-29D1-4C00-B799-1D30BD90D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51</xdr:col>
      <xdr:colOff>632460</xdr:colOff>
      <xdr:row>54</xdr:row>
      <xdr:rowOff>76201</xdr:rowOff>
    </xdr:from>
    <xdr:to>
      <xdr:col>54</xdr:col>
      <xdr:colOff>266700</xdr:colOff>
      <xdr:row>62</xdr:row>
      <xdr:rowOff>106680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B072C691-08C3-6AC9-C770-20B2254C780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1879520" y="9951721"/>
              <a:ext cx="1828800" cy="1493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49</xdr:col>
      <xdr:colOff>175260</xdr:colOff>
      <xdr:row>54</xdr:row>
      <xdr:rowOff>121921</xdr:rowOff>
    </xdr:from>
    <xdr:to>
      <xdr:col>51</xdr:col>
      <xdr:colOff>541020</xdr:colOff>
      <xdr:row>61</xdr:row>
      <xdr:rowOff>53341</xdr:rowOff>
    </xdr:to>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52A18DDD-50C6-42E4-8875-433859CFB312}"/>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39959280" y="9997441"/>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45</xdr:col>
      <xdr:colOff>674370</xdr:colOff>
      <xdr:row>36</xdr:row>
      <xdr:rowOff>121920</xdr:rowOff>
    </xdr:from>
    <xdr:to>
      <xdr:col>48</xdr:col>
      <xdr:colOff>152400</xdr:colOff>
      <xdr:row>42</xdr:row>
      <xdr:rowOff>144780</xdr:rowOff>
    </xdr:to>
    <xdr:graphicFrame macro="">
      <xdr:nvGraphicFramePr>
        <xdr:cNvPr id="4" name="Chart 3">
          <a:extLst>
            <a:ext uri="{FF2B5EF4-FFF2-40B4-BE49-F238E27FC236}">
              <a16:creationId xmlns:a16="http://schemas.microsoft.com/office/drawing/2014/main" id="{74F66AA8-DB99-E9F1-46C3-FF09914AAD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45</xdr:col>
      <xdr:colOff>727710</xdr:colOff>
      <xdr:row>44</xdr:row>
      <xdr:rowOff>53340</xdr:rowOff>
    </xdr:from>
    <xdr:to>
      <xdr:col>48</xdr:col>
      <xdr:colOff>60960</xdr:colOff>
      <xdr:row>48</xdr:row>
      <xdr:rowOff>125730</xdr:rowOff>
    </xdr:to>
    <xdr:graphicFrame macro="">
      <xdr:nvGraphicFramePr>
        <xdr:cNvPr id="5" name="Chart 4">
          <a:extLst>
            <a:ext uri="{FF2B5EF4-FFF2-40B4-BE49-F238E27FC236}">
              <a16:creationId xmlns:a16="http://schemas.microsoft.com/office/drawing/2014/main" id="{C6B46210-2030-B892-F7F3-5E9F03B255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46</xdr:col>
      <xdr:colOff>704850</xdr:colOff>
      <xdr:row>50</xdr:row>
      <xdr:rowOff>22860</xdr:rowOff>
    </xdr:from>
    <xdr:to>
      <xdr:col>49</xdr:col>
      <xdr:colOff>38100</xdr:colOff>
      <xdr:row>56</xdr:row>
      <xdr:rowOff>156210</xdr:rowOff>
    </xdr:to>
    <xdr:graphicFrame macro="">
      <xdr:nvGraphicFramePr>
        <xdr:cNvPr id="6" name="Chart 5">
          <a:extLst>
            <a:ext uri="{FF2B5EF4-FFF2-40B4-BE49-F238E27FC236}">
              <a16:creationId xmlns:a16="http://schemas.microsoft.com/office/drawing/2014/main" id="{D842F987-79AF-8AC8-15FF-245072D57E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46</xdr:col>
      <xdr:colOff>308610</xdr:colOff>
      <xdr:row>58</xdr:row>
      <xdr:rowOff>22860</xdr:rowOff>
    </xdr:from>
    <xdr:to>
      <xdr:col>48</xdr:col>
      <xdr:colOff>480060</xdr:colOff>
      <xdr:row>62</xdr:row>
      <xdr:rowOff>179070</xdr:rowOff>
    </xdr:to>
    <xdr:graphicFrame macro="">
      <xdr:nvGraphicFramePr>
        <xdr:cNvPr id="7" name="Chart 6">
          <a:extLst>
            <a:ext uri="{FF2B5EF4-FFF2-40B4-BE49-F238E27FC236}">
              <a16:creationId xmlns:a16="http://schemas.microsoft.com/office/drawing/2014/main" id="{C33D4DF2-B2CB-296B-8FF7-EFABB79B37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49</xdr:col>
      <xdr:colOff>582930</xdr:colOff>
      <xdr:row>37</xdr:row>
      <xdr:rowOff>30480</xdr:rowOff>
    </xdr:from>
    <xdr:to>
      <xdr:col>52</xdr:col>
      <xdr:colOff>312420</xdr:colOff>
      <xdr:row>42</xdr:row>
      <xdr:rowOff>171450</xdr:rowOff>
    </xdr:to>
    <xdr:graphicFrame macro="">
      <xdr:nvGraphicFramePr>
        <xdr:cNvPr id="8" name="Chart 7">
          <a:extLst>
            <a:ext uri="{FF2B5EF4-FFF2-40B4-BE49-F238E27FC236}">
              <a16:creationId xmlns:a16="http://schemas.microsoft.com/office/drawing/2014/main" id="{CC21920D-E8F9-980E-7CAF-F79431271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50</xdr:col>
      <xdr:colOff>19050</xdr:colOff>
      <xdr:row>43</xdr:row>
      <xdr:rowOff>91440</xdr:rowOff>
    </xdr:from>
    <xdr:to>
      <xdr:col>52</xdr:col>
      <xdr:colOff>99060</xdr:colOff>
      <xdr:row>49</xdr:row>
      <xdr:rowOff>19050</xdr:rowOff>
    </xdr:to>
    <xdr:graphicFrame macro="">
      <xdr:nvGraphicFramePr>
        <xdr:cNvPr id="9" name="Chart 8">
          <a:extLst>
            <a:ext uri="{FF2B5EF4-FFF2-40B4-BE49-F238E27FC236}">
              <a16:creationId xmlns:a16="http://schemas.microsoft.com/office/drawing/2014/main" id="{44EC7095-4FD1-7A0F-D9C7-7FDFD00AD7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50</xdr:col>
      <xdr:colOff>171450</xdr:colOff>
      <xdr:row>50</xdr:row>
      <xdr:rowOff>45720</xdr:rowOff>
    </xdr:from>
    <xdr:to>
      <xdr:col>52</xdr:col>
      <xdr:colOff>213360</xdr:colOff>
      <xdr:row>54</xdr:row>
      <xdr:rowOff>179070</xdr:rowOff>
    </xdr:to>
    <xdr:graphicFrame macro="">
      <xdr:nvGraphicFramePr>
        <xdr:cNvPr id="10" name="Chart 9">
          <a:extLst>
            <a:ext uri="{FF2B5EF4-FFF2-40B4-BE49-F238E27FC236}">
              <a16:creationId xmlns:a16="http://schemas.microsoft.com/office/drawing/2014/main" id="{185F0CAA-DA51-E02B-D19A-B7A3670EF9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213360</xdr:colOff>
      <xdr:row>86</xdr:row>
      <xdr:rowOff>53341</xdr:rowOff>
    </xdr:from>
    <xdr:to>
      <xdr:col>8</xdr:col>
      <xdr:colOff>396240</xdr:colOff>
      <xdr:row>94</xdr:row>
      <xdr:rowOff>160021</xdr:rowOff>
    </xdr:to>
    <mc:AlternateContent xmlns:mc="http://schemas.openxmlformats.org/markup-compatibility/2006" xmlns:a14="http://schemas.microsoft.com/office/drawing/2010/main">
      <mc:Choice Requires="a14">
        <xdr:graphicFrame macro="">
          <xdr:nvGraphicFramePr>
            <xdr:cNvPr id="11" name="Region 2">
              <a:extLst>
                <a:ext uri="{FF2B5EF4-FFF2-40B4-BE49-F238E27FC236}">
                  <a16:creationId xmlns:a16="http://schemas.microsoft.com/office/drawing/2014/main" id="{C288FAA1-5D11-0BB7-9177-5F541C8F92ED}"/>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953000" y="15781021"/>
              <a:ext cx="1828800" cy="1569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137160</xdr:colOff>
      <xdr:row>84</xdr:row>
      <xdr:rowOff>167641</xdr:rowOff>
    </xdr:from>
    <xdr:to>
      <xdr:col>10</xdr:col>
      <xdr:colOff>662940</xdr:colOff>
      <xdr:row>91</xdr:row>
      <xdr:rowOff>99061</xdr:rowOff>
    </xdr:to>
    <mc:AlternateContent xmlns:mc="http://schemas.openxmlformats.org/markup-compatibility/2006" xmlns:a14="http://schemas.microsoft.com/office/drawing/2010/main">
      <mc:Choice Requires="a14">
        <xdr:graphicFrame macro="">
          <xdr:nvGraphicFramePr>
            <xdr:cNvPr id="12" name="Product Category 2">
              <a:extLst>
                <a:ext uri="{FF2B5EF4-FFF2-40B4-BE49-F238E27FC236}">
                  <a16:creationId xmlns:a16="http://schemas.microsoft.com/office/drawing/2014/main" id="{ED484D69-65BC-7710-7F5A-9B141E833497}"/>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7155180" y="15529561"/>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609600</xdr:colOff>
      <xdr:row>80</xdr:row>
      <xdr:rowOff>121921</xdr:rowOff>
    </xdr:from>
    <xdr:to>
      <xdr:col>11</xdr:col>
      <xdr:colOff>320040</xdr:colOff>
      <xdr:row>85</xdr:row>
      <xdr:rowOff>106681</xdr:rowOff>
    </xdr:to>
    <mc:AlternateContent xmlns:mc="http://schemas.openxmlformats.org/markup-compatibility/2006" xmlns:a14="http://schemas.microsoft.com/office/drawing/2010/main">
      <mc:Choice Requires="a14">
        <xdr:graphicFrame macro="">
          <xdr:nvGraphicFramePr>
            <xdr:cNvPr id="13" name="Order Month">
              <a:extLst>
                <a:ext uri="{FF2B5EF4-FFF2-40B4-BE49-F238E27FC236}">
                  <a16:creationId xmlns:a16="http://schemas.microsoft.com/office/drawing/2014/main" id="{74B50AFE-47FF-44CB-37D4-58D5389D9CAE}"/>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7627620" y="14752321"/>
              <a:ext cx="182880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99060</xdr:colOff>
      <xdr:row>73</xdr:row>
      <xdr:rowOff>38101</xdr:rowOff>
    </xdr:from>
    <xdr:to>
      <xdr:col>11</xdr:col>
      <xdr:colOff>601980</xdr:colOff>
      <xdr:row>79</xdr:row>
      <xdr:rowOff>137161</xdr:rowOff>
    </xdr:to>
    <mc:AlternateContent xmlns:mc="http://schemas.openxmlformats.org/markup-compatibility/2006" xmlns:a14="http://schemas.microsoft.com/office/drawing/2010/main">
      <mc:Choice Requires="a14">
        <xdr:graphicFrame macro="">
          <xdr:nvGraphicFramePr>
            <xdr:cNvPr id="14" name="Customer Segment">
              <a:extLst>
                <a:ext uri="{FF2B5EF4-FFF2-40B4-BE49-F238E27FC236}">
                  <a16:creationId xmlns:a16="http://schemas.microsoft.com/office/drawing/2014/main" id="{AAC75017-7633-B510-7641-C638CAA98D8A}"/>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7909560" y="13388341"/>
              <a:ext cx="182880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182880</xdr:colOff>
      <xdr:row>78</xdr:row>
      <xdr:rowOff>106680</xdr:rowOff>
    </xdr:from>
    <xdr:to>
      <xdr:col>4</xdr:col>
      <xdr:colOff>419100</xdr:colOff>
      <xdr:row>100</xdr:row>
      <xdr:rowOff>160020</xdr:rowOff>
    </xdr:to>
    <xdr:graphicFrame macro="">
      <xdr:nvGraphicFramePr>
        <xdr:cNvPr id="15" name="Chart 14">
          <a:extLst>
            <a:ext uri="{FF2B5EF4-FFF2-40B4-BE49-F238E27FC236}">
              <a16:creationId xmlns:a16="http://schemas.microsoft.com/office/drawing/2014/main" id="{7C138D6A-9961-74BC-5F32-4806A1546B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746760</xdr:colOff>
      <xdr:row>52</xdr:row>
      <xdr:rowOff>76200</xdr:rowOff>
    </xdr:from>
    <xdr:to>
      <xdr:col>7</xdr:col>
      <xdr:colOff>1234440</xdr:colOff>
      <xdr:row>58</xdr:row>
      <xdr:rowOff>129540</xdr:rowOff>
    </xdr:to>
    <xdr:graphicFrame macro="">
      <xdr:nvGraphicFramePr>
        <xdr:cNvPr id="17" name="Chart 16">
          <a:extLst>
            <a:ext uri="{FF2B5EF4-FFF2-40B4-BE49-F238E27FC236}">
              <a16:creationId xmlns:a16="http://schemas.microsoft.com/office/drawing/2014/main" id="{4030EE2D-02E1-E6BB-730F-AB63BC97C3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1249680</xdr:colOff>
      <xdr:row>57</xdr:row>
      <xdr:rowOff>152400</xdr:rowOff>
    </xdr:from>
    <xdr:to>
      <xdr:col>12</xdr:col>
      <xdr:colOff>205740</xdr:colOff>
      <xdr:row>67</xdr:row>
      <xdr:rowOff>167640</xdr:rowOff>
    </xdr:to>
    <xdr:graphicFrame macro="">
      <xdr:nvGraphicFramePr>
        <xdr:cNvPr id="18" name="Chart 17">
          <a:extLst>
            <a:ext uri="{FF2B5EF4-FFF2-40B4-BE49-F238E27FC236}">
              <a16:creationId xmlns:a16="http://schemas.microsoft.com/office/drawing/2014/main" id="{1EAB004F-B106-4E7F-3C52-72977FD5B2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784860</xdr:colOff>
      <xdr:row>68</xdr:row>
      <xdr:rowOff>106680</xdr:rowOff>
    </xdr:from>
    <xdr:to>
      <xdr:col>12</xdr:col>
      <xdr:colOff>144780</xdr:colOff>
      <xdr:row>76</xdr:row>
      <xdr:rowOff>99060</xdr:rowOff>
    </xdr:to>
    <xdr:graphicFrame macro="">
      <xdr:nvGraphicFramePr>
        <xdr:cNvPr id="19" name="Chart 18">
          <a:extLst>
            <a:ext uri="{FF2B5EF4-FFF2-40B4-BE49-F238E27FC236}">
              <a16:creationId xmlns:a16="http://schemas.microsoft.com/office/drawing/2014/main" id="{C5C4A7C8-E15F-57D3-2AA0-BEEBB19D4A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662940</xdr:colOff>
      <xdr:row>80</xdr:row>
      <xdr:rowOff>22860</xdr:rowOff>
    </xdr:from>
    <xdr:to>
      <xdr:col>7</xdr:col>
      <xdr:colOff>1325880</xdr:colOff>
      <xdr:row>84</xdr:row>
      <xdr:rowOff>15240</xdr:rowOff>
    </xdr:to>
    <xdr:graphicFrame macro="">
      <xdr:nvGraphicFramePr>
        <xdr:cNvPr id="20" name="Chart 19">
          <a:extLst>
            <a:ext uri="{FF2B5EF4-FFF2-40B4-BE49-F238E27FC236}">
              <a16:creationId xmlns:a16="http://schemas.microsoft.com/office/drawing/2014/main" id="{04DE8E1B-A07D-7887-8A0B-6E07DF75E4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320040</xdr:colOff>
      <xdr:row>0</xdr:row>
      <xdr:rowOff>53341</xdr:rowOff>
    </xdr:from>
    <xdr:to>
      <xdr:col>21</xdr:col>
      <xdr:colOff>259080</xdr:colOff>
      <xdr:row>6</xdr:row>
      <xdr:rowOff>22860</xdr:rowOff>
    </xdr:to>
    <mc:AlternateContent xmlns:mc="http://schemas.openxmlformats.org/markup-compatibility/2006" xmlns:a14="http://schemas.microsoft.com/office/drawing/2010/main">
      <mc:Choice Requires="a14">
        <xdr:graphicFrame macro="">
          <xdr:nvGraphicFramePr>
            <xdr:cNvPr id="2" name="Region 3">
              <a:extLst>
                <a:ext uri="{FF2B5EF4-FFF2-40B4-BE49-F238E27FC236}">
                  <a16:creationId xmlns:a16="http://schemas.microsoft.com/office/drawing/2014/main" id="{F0F5C08E-3291-42A1-9777-20F2D2B409B7}"/>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1902440" y="53341"/>
              <a:ext cx="1158240" cy="1066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297180</xdr:colOff>
      <xdr:row>0</xdr:row>
      <xdr:rowOff>53341</xdr:rowOff>
    </xdr:from>
    <xdr:to>
      <xdr:col>23</xdr:col>
      <xdr:colOff>327660</xdr:colOff>
      <xdr:row>6</xdr:row>
      <xdr:rowOff>15240</xdr:rowOff>
    </xdr:to>
    <mc:AlternateContent xmlns:mc="http://schemas.openxmlformats.org/markup-compatibility/2006" xmlns:a14="http://schemas.microsoft.com/office/drawing/2010/main">
      <mc:Choice Requires="a14">
        <xdr:graphicFrame macro="">
          <xdr:nvGraphicFramePr>
            <xdr:cNvPr id="3" name="Product Category 3">
              <a:extLst>
                <a:ext uri="{FF2B5EF4-FFF2-40B4-BE49-F238E27FC236}">
                  <a16:creationId xmlns:a16="http://schemas.microsoft.com/office/drawing/2014/main" id="{C3A85D4C-6418-4264-B591-0D48E9F90E4C}"/>
                </a:ext>
              </a:extLst>
            </xdr:cNvPr>
            <xdr:cNvGraphicFramePr/>
          </xdr:nvGraphicFramePr>
          <xdr:xfrm>
            <a:off x="0" y="0"/>
            <a:ext cx="0" cy="0"/>
          </xdr:xfrm>
          <a:graphic>
            <a:graphicData uri="http://schemas.microsoft.com/office/drawing/2010/slicer">
              <sle:slicer xmlns:sle="http://schemas.microsoft.com/office/drawing/2010/slicer" name="Product Category 3"/>
            </a:graphicData>
          </a:graphic>
        </xdr:graphicFrame>
      </mc:Choice>
      <mc:Fallback xmlns="">
        <xdr:sp macro="" textlink="">
          <xdr:nvSpPr>
            <xdr:cNvPr id="0" name=""/>
            <xdr:cNvSpPr>
              <a:spLocks noTextEdit="1"/>
            </xdr:cNvSpPr>
          </xdr:nvSpPr>
          <xdr:spPr>
            <a:xfrm>
              <a:off x="13098780" y="53341"/>
              <a:ext cx="1249680" cy="1059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38100</xdr:colOff>
      <xdr:row>0</xdr:row>
      <xdr:rowOff>53340</xdr:rowOff>
    </xdr:from>
    <xdr:to>
      <xdr:col>17</xdr:col>
      <xdr:colOff>15240</xdr:colOff>
      <xdr:row>6</xdr:row>
      <xdr:rowOff>7619</xdr:rowOff>
    </xdr:to>
    <mc:AlternateContent xmlns:mc="http://schemas.openxmlformats.org/markup-compatibility/2006" xmlns:a14="http://schemas.microsoft.com/office/drawing/2010/main">
      <mc:Choice Requires="a14">
        <xdr:graphicFrame macro="">
          <xdr:nvGraphicFramePr>
            <xdr:cNvPr id="4" name="Order Month 1">
              <a:extLst>
                <a:ext uri="{FF2B5EF4-FFF2-40B4-BE49-F238E27FC236}">
                  <a16:creationId xmlns:a16="http://schemas.microsoft.com/office/drawing/2014/main" id="{F47FCDDB-4CBB-4201-99C4-CD23071D2FAB}"/>
                </a:ext>
              </a:extLst>
            </xdr:cNvPr>
            <xdr:cNvGraphicFramePr/>
          </xdr:nvGraphicFramePr>
          <xdr:xfrm>
            <a:off x="0" y="0"/>
            <a:ext cx="0" cy="0"/>
          </xdr:xfrm>
          <a:graphic>
            <a:graphicData uri="http://schemas.microsoft.com/office/drawing/2010/slicer">
              <sle:slicer xmlns:sle="http://schemas.microsoft.com/office/drawing/2010/slicer" name="Order Month 1"/>
            </a:graphicData>
          </a:graphic>
        </xdr:graphicFrame>
      </mc:Choice>
      <mc:Fallback xmlns="">
        <xdr:sp macro="" textlink="">
          <xdr:nvSpPr>
            <xdr:cNvPr id="0" name=""/>
            <xdr:cNvSpPr>
              <a:spLocks noTextEdit="1"/>
            </xdr:cNvSpPr>
          </xdr:nvSpPr>
          <xdr:spPr>
            <a:xfrm>
              <a:off x="9182100" y="53340"/>
              <a:ext cx="1196340" cy="1051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53340</xdr:colOff>
      <xdr:row>0</xdr:row>
      <xdr:rowOff>53341</xdr:rowOff>
    </xdr:from>
    <xdr:to>
      <xdr:col>19</xdr:col>
      <xdr:colOff>223140</xdr:colOff>
      <xdr:row>6</xdr:row>
      <xdr:rowOff>15240</xdr:rowOff>
    </xdr:to>
    <mc:AlternateContent xmlns:mc="http://schemas.openxmlformats.org/markup-compatibility/2006" xmlns:a14="http://schemas.microsoft.com/office/drawing/2010/main">
      <mc:Choice Requires="a14">
        <xdr:graphicFrame macro="">
          <xdr:nvGraphicFramePr>
            <xdr:cNvPr id="5" name="Customer Segment 1">
              <a:extLst>
                <a:ext uri="{FF2B5EF4-FFF2-40B4-BE49-F238E27FC236}">
                  <a16:creationId xmlns:a16="http://schemas.microsoft.com/office/drawing/2014/main" id="{27C10C25-8240-44A2-9C9C-16010F8067E5}"/>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10416540" y="53341"/>
              <a:ext cx="1389000" cy="1059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45720</xdr:colOff>
      <xdr:row>12</xdr:row>
      <xdr:rowOff>129540</xdr:rowOff>
    </xdr:from>
    <xdr:to>
      <xdr:col>14</xdr:col>
      <xdr:colOff>601980</xdr:colOff>
      <xdr:row>24</xdr:row>
      <xdr:rowOff>60960</xdr:rowOff>
    </xdr:to>
    <xdr:graphicFrame macro="">
      <xdr:nvGraphicFramePr>
        <xdr:cNvPr id="6" name="Chart 5">
          <a:extLst>
            <a:ext uri="{FF2B5EF4-FFF2-40B4-BE49-F238E27FC236}">
              <a16:creationId xmlns:a16="http://schemas.microsoft.com/office/drawing/2014/main" id="{A0B55E08-7032-4333-B334-678FA2189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24</xdr:row>
      <xdr:rowOff>106680</xdr:rowOff>
    </xdr:from>
    <xdr:to>
      <xdr:col>7</xdr:col>
      <xdr:colOff>60960</xdr:colOff>
      <xdr:row>37</xdr:row>
      <xdr:rowOff>0</xdr:rowOff>
    </xdr:to>
    <xdr:graphicFrame macro="">
      <xdr:nvGraphicFramePr>
        <xdr:cNvPr id="7" name="Chart 6">
          <a:extLst>
            <a:ext uri="{FF2B5EF4-FFF2-40B4-BE49-F238E27FC236}">
              <a16:creationId xmlns:a16="http://schemas.microsoft.com/office/drawing/2014/main" id="{73D7D32A-DB54-4BE7-9B75-4751C3469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121920</xdr:colOff>
      <xdr:row>24</xdr:row>
      <xdr:rowOff>114300</xdr:rowOff>
    </xdr:from>
    <xdr:to>
      <xdr:col>16</xdr:col>
      <xdr:colOff>320040</xdr:colOff>
      <xdr:row>37</xdr:row>
      <xdr:rowOff>22860</xdr:rowOff>
    </xdr:to>
    <xdr:graphicFrame macro="">
      <xdr:nvGraphicFramePr>
        <xdr:cNvPr id="8" name="Chart 7">
          <a:extLst>
            <a:ext uri="{FF2B5EF4-FFF2-40B4-BE49-F238E27FC236}">
              <a16:creationId xmlns:a16="http://schemas.microsoft.com/office/drawing/2014/main" id="{298958EF-F107-43DB-9ED4-B000A1ACD0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68580</xdr:colOff>
      <xdr:row>6</xdr:row>
      <xdr:rowOff>68580</xdr:rowOff>
    </xdr:from>
    <xdr:to>
      <xdr:col>23</xdr:col>
      <xdr:colOff>320040</xdr:colOff>
      <xdr:row>24</xdr:row>
      <xdr:rowOff>60960</xdr:rowOff>
    </xdr:to>
    <xdr:graphicFrame macro="">
      <xdr:nvGraphicFramePr>
        <xdr:cNvPr id="9" name="Chart 8">
          <a:extLst>
            <a:ext uri="{FF2B5EF4-FFF2-40B4-BE49-F238E27FC236}">
              <a16:creationId xmlns:a16="http://schemas.microsoft.com/office/drawing/2014/main" id="{1C054DE6-633A-4921-8C6B-EFF3A01FF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396240</xdr:colOff>
      <xdr:row>24</xdr:row>
      <xdr:rowOff>121920</xdr:rowOff>
    </xdr:from>
    <xdr:to>
      <xdr:col>23</xdr:col>
      <xdr:colOff>266700</xdr:colOff>
      <xdr:row>37</xdr:row>
      <xdr:rowOff>15240</xdr:rowOff>
    </xdr:to>
    <xdr:graphicFrame macro="">
      <xdr:nvGraphicFramePr>
        <xdr:cNvPr id="10" name="Chart 9">
          <a:extLst>
            <a:ext uri="{FF2B5EF4-FFF2-40B4-BE49-F238E27FC236}">
              <a16:creationId xmlns:a16="http://schemas.microsoft.com/office/drawing/2014/main" id="{EB87748A-A8F1-4383-AECE-3F2EEE545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45720</xdr:colOff>
      <xdr:row>0</xdr:row>
      <xdr:rowOff>38100</xdr:rowOff>
    </xdr:from>
    <xdr:to>
      <xdr:col>14</xdr:col>
      <xdr:colOff>594360</xdr:colOff>
      <xdr:row>3</xdr:row>
      <xdr:rowOff>91440</xdr:rowOff>
    </xdr:to>
    <xdr:sp macro="" textlink="Adv.ExcelSheet!A54">
      <xdr:nvSpPr>
        <xdr:cNvPr id="15" name="Rectangle 14">
          <a:extLst>
            <a:ext uri="{FF2B5EF4-FFF2-40B4-BE49-F238E27FC236}">
              <a16:creationId xmlns:a16="http://schemas.microsoft.com/office/drawing/2014/main" id="{9E3950BC-BD1D-5D2F-0701-D9AE4293D4D9}"/>
            </a:ext>
          </a:extLst>
        </xdr:cNvPr>
        <xdr:cNvSpPr/>
      </xdr:nvSpPr>
      <xdr:spPr>
        <a:xfrm>
          <a:off x="45720" y="38100"/>
          <a:ext cx="9083040" cy="601980"/>
        </a:xfrm>
        <a:prstGeom prst="rect">
          <a:avLst/>
        </a:prstGeom>
        <a:solidFill>
          <a:schemeClr val="tx1"/>
        </a:solidFill>
        <a:ln>
          <a:solidFill>
            <a:schemeClr val="bg1"/>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fld id="{6192F485-835F-46E1-B9F3-361C5CAB925F}" type="TxLink">
            <a:rPr lang="en-US" sz="2800" b="1" i="1" u="none" strike="noStrike">
              <a:solidFill>
                <a:schemeClr val="bg1"/>
              </a:solidFill>
              <a:latin typeface="Algerian" panose="04020705040A02060702" pitchFamily="82" charset="0"/>
            </a:rPr>
            <a:pPr algn="ctr"/>
            <a:t>Business Performance Dashboard</a:t>
          </a:fld>
          <a:endParaRPr lang="en-IN" sz="2800" i="1">
            <a:solidFill>
              <a:schemeClr val="bg1"/>
            </a:solidFill>
            <a:latin typeface="Algerian" panose="04020705040A02060702" pitchFamily="82" charset="0"/>
          </a:endParaRPr>
        </a:p>
      </xdr:txBody>
    </xdr:sp>
    <xdr:clientData/>
  </xdr:twoCellAnchor>
  <xdr:twoCellAnchor>
    <xdr:from>
      <xdr:col>0</xdr:col>
      <xdr:colOff>53340</xdr:colOff>
      <xdr:row>3</xdr:row>
      <xdr:rowOff>121920</xdr:rowOff>
    </xdr:from>
    <xdr:to>
      <xdr:col>3</xdr:col>
      <xdr:colOff>579120</xdr:colOff>
      <xdr:row>12</xdr:row>
      <xdr:rowOff>83820</xdr:rowOff>
    </xdr:to>
    <xdr:grpSp>
      <xdr:nvGrpSpPr>
        <xdr:cNvPr id="26" name="Group 25">
          <a:extLst>
            <a:ext uri="{FF2B5EF4-FFF2-40B4-BE49-F238E27FC236}">
              <a16:creationId xmlns:a16="http://schemas.microsoft.com/office/drawing/2014/main" id="{1B498CDC-D9BC-D3C1-40A5-343F5EA20B77}"/>
            </a:ext>
          </a:extLst>
        </xdr:cNvPr>
        <xdr:cNvGrpSpPr/>
      </xdr:nvGrpSpPr>
      <xdr:grpSpPr>
        <a:xfrm>
          <a:off x="53340" y="670560"/>
          <a:ext cx="2354580" cy="1607820"/>
          <a:chOff x="53340" y="670560"/>
          <a:chExt cx="2354580" cy="1607820"/>
        </a:xfrm>
      </xdr:grpSpPr>
      <xdr:sp macro="" textlink="$A$39">
        <xdr:nvSpPr>
          <xdr:cNvPr id="11" name="Rectangle 10">
            <a:extLst>
              <a:ext uri="{FF2B5EF4-FFF2-40B4-BE49-F238E27FC236}">
                <a16:creationId xmlns:a16="http://schemas.microsoft.com/office/drawing/2014/main" id="{0CF85DFB-5F8B-E6D6-79B0-364454078076}"/>
              </a:ext>
            </a:extLst>
          </xdr:cNvPr>
          <xdr:cNvSpPr/>
        </xdr:nvSpPr>
        <xdr:spPr>
          <a:xfrm>
            <a:off x="53340" y="670560"/>
            <a:ext cx="2354580" cy="160782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BB2F5B2-E5BB-4846-A079-A2A9B8EAD525}" type="TxLink">
              <a:rPr lang="en-US" sz="1600" b="1" i="1" u="none" strike="noStrike">
                <a:solidFill>
                  <a:schemeClr val="bg1"/>
                </a:solidFill>
                <a:latin typeface="Algerian" panose="04020705040A02060702" pitchFamily="82" charset="0"/>
              </a:rPr>
              <a:pPr algn="l"/>
              <a:t>Total Sales=314900</a:t>
            </a:fld>
            <a:endParaRPr lang="en-IN" sz="1600" b="1" i="1">
              <a:solidFill>
                <a:schemeClr val="bg1"/>
              </a:solidFill>
              <a:latin typeface="Algerian" panose="04020705040A02060702" pitchFamily="82" charset="0"/>
            </a:endParaRPr>
          </a:p>
        </xdr:txBody>
      </xdr:sp>
      <xdr:pic>
        <xdr:nvPicPr>
          <xdr:cNvPr id="16" name="Picture 15">
            <a:extLst>
              <a:ext uri="{FF2B5EF4-FFF2-40B4-BE49-F238E27FC236}">
                <a16:creationId xmlns:a16="http://schemas.microsoft.com/office/drawing/2014/main" id="{24331413-1302-68A9-3272-F80E6C4826B5}"/>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backgroundRemoval t="9778" b="90667" l="9778" r="89778">
                        <a14:foregroundMark x1="10222" y1="23556" x2="10667" y2="41778"/>
                        <a14:foregroundMark x1="32889" y1="12889" x2="46222" y2="34222"/>
                        <a14:foregroundMark x1="46222" y1="34222" x2="32444" y2="50222"/>
                        <a14:foregroundMark x1="34667" y1="13333" x2="50667" y2="32889"/>
                        <a14:foregroundMark x1="50667" y1="32889" x2="33778" y2="49778"/>
                        <a14:foregroundMark x1="33778" y1="49778" x2="31111" y2="50667"/>
                        <a14:foregroundMark x1="26222" y1="13333" x2="44444" y2="26222"/>
                        <a14:foregroundMark x1="16889" y1="89778" x2="42222" y2="92889"/>
                        <a14:foregroundMark x1="42222" y1="92889" x2="69333" y2="90222"/>
                        <a14:foregroundMark x1="69333" y1="90222" x2="24444" y2="90667"/>
                        <a14:foregroundMark x1="80889" y1="10667" x2="68444" y2="30222"/>
                        <a14:foregroundMark x1="68444" y1="30222" x2="87556" y2="14222"/>
                        <a14:foregroundMark x1="87556" y1="14222" x2="70667" y2="29333"/>
                        <a14:foregroundMark x1="70667" y1="29333" x2="86222" y2="12889"/>
                        <a14:foregroundMark x1="86222" y1="12889" x2="68889" y2="28889"/>
                        <a14:foregroundMark x1="68889" y1="28889" x2="54222" y2="22222"/>
                      </a14:backgroundRemoval>
                    </a14:imgEffect>
                  </a14:imgLayer>
                </a14:imgProps>
              </a:ext>
            </a:extLst>
          </a:blip>
          <a:stretch>
            <a:fillRect/>
          </a:stretch>
        </xdr:blipFill>
        <xdr:spPr>
          <a:xfrm>
            <a:off x="114300" y="1011393"/>
            <a:ext cx="2232660" cy="1259367"/>
          </a:xfrm>
          <a:prstGeom prst="rect">
            <a:avLst/>
          </a:prstGeom>
          <a:solidFill>
            <a:schemeClr val="tx1"/>
          </a:solidFill>
        </xdr:spPr>
      </xdr:pic>
    </xdr:grpSp>
    <xdr:clientData/>
  </xdr:twoCellAnchor>
  <xdr:twoCellAnchor>
    <xdr:from>
      <xdr:col>4</xdr:col>
      <xdr:colOff>7717</xdr:colOff>
      <xdr:row>3</xdr:row>
      <xdr:rowOff>129540</xdr:rowOff>
    </xdr:from>
    <xdr:to>
      <xdr:col>7</xdr:col>
      <xdr:colOff>447783</xdr:colOff>
      <xdr:row>12</xdr:row>
      <xdr:rowOff>83820</xdr:rowOff>
    </xdr:to>
    <xdr:grpSp>
      <xdr:nvGrpSpPr>
        <xdr:cNvPr id="27" name="Group 26">
          <a:extLst>
            <a:ext uri="{FF2B5EF4-FFF2-40B4-BE49-F238E27FC236}">
              <a16:creationId xmlns:a16="http://schemas.microsoft.com/office/drawing/2014/main" id="{13E24B05-E2F4-53EB-1EB9-76637FD744FA}"/>
            </a:ext>
          </a:extLst>
        </xdr:cNvPr>
        <xdr:cNvGrpSpPr/>
      </xdr:nvGrpSpPr>
      <xdr:grpSpPr>
        <a:xfrm>
          <a:off x="2446117" y="678180"/>
          <a:ext cx="2268866" cy="1600200"/>
          <a:chOff x="2446117" y="678180"/>
          <a:chExt cx="2268866" cy="1600200"/>
        </a:xfrm>
      </xdr:grpSpPr>
      <xdr:sp macro="" textlink="$A$40">
        <xdr:nvSpPr>
          <xdr:cNvPr id="12" name="Rectangle 11">
            <a:extLst>
              <a:ext uri="{FF2B5EF4-FFF2-40B4-BE49-F238E27FC236}">
                <a16:creationId xmlns:a16="http://schemas.microsoft.com/office/drawing/2014/main" id="{510A30E1-A64C-5628-4750-EE14FABAD848}"/>
              </a:ext>
            </a:extLst>
          </xdr:cNvPr>
          <xdr:cNvSpPr/>
        </xdr:nvSpPr>
        <xdr:spPr>
          <a:xfrm>
            <a:off x="2446117" y="678180"/>
            <a:ext cx="2268866" cy="16002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8011BA89-D7D0-4206-A435-53F10D8CC483}" type="TxLink">
              <a:rPr lang="en-US" sz="1600" b="1" i="1" u="none" strike="noStrike">
                <a:solidFill>
                  <a:schemeClr val="bg1"/>
                </a:solidFill>
                <a:latin typeface="Algerian" panose="04020705040A02060702" pitchFamily="82" charset="0"/>
                <a:ea typeface="+mn-ea"/>
                <a:cs typeface="+mn-cs"/>
              </a:rPr>
              <a:pPr marL="0" indent="0" algn="l"/>
              <a:t>Total Profit=94470</a:t>
            </a:fld>
            <a:endParaRPr lang="en-IN" sz="1600" b="1" i="1" u="none" strike="noStrike">
              <a:solidFill>
                <a:schemeClr val="bg1"/>
              </a:solidFill>
              <a:latin typeface="Algerian" panose="04020705040A02060702" pitchFamily="82" charset="0"/>
              <a:ea typeface="+mn-ea"/>
              <a:cs typeface="+mn-cs"/>
            </a:endParaRPr>
          </a:p>
        </xdr:txBody>
      </xdr:sp>
      <xdr:pic>
        <xdr:nvPicPr>
          <xdr:cNvPr id="18" name="Picture 17">
            <a:extLst>
              <a:ext uri="{FF2B5EF4-FFF2-40B4-BE49-F238E27FC236}">
                <a16:creationId xmlns:a16="http://schemas.microsoft.com/office/drawing/2014/main" id="{477867DC-AEC5-0549-C04C-F57E2F614A7E}"/>
              </a:ext>
            </a:extLst>
          </xdr:cNvPr>
          <xdr:cNvPicPr>
            <a:picLocks noChangeAspect="1"/>
          </xdr:cNvPicPr>
        </xdr:nvPicPr>
        <xdr:blipFill>
          <a:blip xmlns:r="http://schemas.openxmlformats.org/officeDocument/2006/relationships" r:embed="rId8">
            <a:extLst>
              <a:ext uri="{BEBA8EAE-BF5A-486C-A8C5-ECC9F3942E4B}">
                <a14:imgProps xmlns:a14="http://schemas.microsoft.com/office/drawing/2010/main">
                  <a14:imgLayer r:embed="rId9">
                    <a14:imgEffect>
                      <a14:backgroundRemoval t="0" b="98222" l="9778" r="89778">
                        <a14:foregroundMark x1="11556" y1="77778" x2="32000" y2="91111"/>
                        <a14:foregroundMark x1="32000" y1="91111" x2="14667" y2="77333"/>
                        <a14:foregroundMark x1="14667" y1="77333" x2="24000" y2="86222"/>
                        <a14:foregroundMark x1="18222" y1="91556" x2="20444" y2="82667"/>
                        <a14:foregroundMark x1="52000" y1="444" x2="49333" y2="15556"/>
                        <a14:foregroundMark x1="43556" y1="31556" x2="39111" y2="53333"/>
                        <a14:foregroundMark x1="39111" y1="53333" x2="61778" y2="58667"/>
                        <a14:foregroundMark x1="61778" y1="58667" x2="68000" y2="35556"/>
                        <a14:foregroundMark x1="68000" y1="35556" x2="45778" y2="29333"/>
                        <a14:foregroundMark x1="45778" y1="29333" x2="43111" y2="29778"/>
                        <a14:foregroundMark x1="41333" y1="53333" x2="56444" y2="59556"/>
                        <a14:foregroundMark x1="52444" y1="34667" x2="59111" y2="45333"/>
                        <a14:foregroundMark x1="52000" y1="38222" x2="47556" y2="49778"/>
                        <a14:foregroundMark x1="52444" y1="40889" x2="56889" y2="47111"/>
                        <a14:foregroundMark x1="22222" y1="95111" x2="22222" y2="98222"/>
                      </a14:backgroundRemoval>
                    </a14:imgEffect>
                  </a14:imgLayer>
                </a14:imgProps>
              </a:ext>
            </a:extLst>
          </a:blip>
          <a:stretch>
            <a:fillRect/>
          </a:stretch>
        </xdr:blipFill>
        <xdr:spPr>
          <a:xfrm>
            <a:off x="2476500" y="1155489"/>
            <a:ext cx="2202180" cy="1069013"/>
          </a:xfrm>
          <a:prstGeom prst="rect">
            <a:avLst/>
          </a:prstGeom>
          <a:solidFill>
            <a:schemeClr val="tx1"/>
          </a:solidFill>
        </xdr:spPr>
      </xdr:pic>
    </xdr:grpSp>
    <xdr:clientData/>
  </xdr:twoCellAnchor>
  <xdr:twoCellAnchor>
    <xdr:from>
      <xdr:col>7</xdr:col>
      <xdr:colOff>494697</xdr:colOff>
      <xdr:row>3</xdr:row>
      <xdr:rowOff>121920</xdr:rowOff>
    </xdr:from>
    <xdr:to>
      <xdr:col>11</xdr:col>
      <xdr:colOff>38100</xdr:colOff>
      <xdr:row>12</xdr:row>
      <xdr:rowOff>83227</xdr:rowOff>
    </xdr:to>
    <xdr:grpSp>
      <xdr:nvGrpSpPr>
        <xdr:cNvPr id="28" name="Group 27">
          <a:extLst>
            <a:ext uri="{FF2B5EF4-FFF2-40B4-BE49-F238E27FC236}">
              <a16:creationId xmlns:a16="http://schemas.microsoft.com/office/drawing/2014/main" id="{93CA871B-43B5-E591-C54C-C886DE72A245}"/>
            </a:ext>
          </a:extLst>
        </xdr:cNvPr>
        <xdr:cNvGrpSpPr/>
      </xdr:nvGrpSpPr>
      <xdr:grpSpPr>
        <a:xfrm>
          <a:off x="4761897" y="670560"/>
          <a:ext cx="1981803" cy="1607227"/>
          <a:chOff x="4761897" y="670560"/>
          <a:chExt cx="1981803" cy="1607227"/>
        </a:xfrm>
      </xdr:grpSpPr>
      <xdr:sp macro="" textlink="$A$41">
        <xdr:nvSpPr>
          <xdr:cNvPr id="13" name="Rectangle 12">
            <a:extLst>
              <a:ext uri="{FF2B5EF4-FFF2-40B4-BE49-F238E27FC236}">
                <a16:creationId xmlns:a16="http://schemas.microsoft.com/office/drawing/2014/main" id="{81D7439B-A3C4-EEF7-E057-EE3B4208E21F}"/>
              </a:ext>
            </a:extLst>
          </xdr:cNvPr>
          <xdr:cNvSpPr/>
        </xdr:nvSpPr>
        <xdr:spPr>
          <a:xfrm>
            <a:off x="4761897" y="670560"/>
            <a:ext cx="1981803" cy="1607227"/>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3BC6BF3A-0D7F-422A-89DC-400402E280C8}" type="TxLink">
              <a:rPr lang="en-US" sz="1600" b="1" i="1" u="none" strike="noStrike">
                <a:solidFill>
                  <a:schemeClr val="bg1"/>
                </a:solidFill>
                <a:latin typeface="Algerian" panose="04020705040A02060702" pitchFamily="82" charset="0"/>
                <a:ea typeface="+mn-ea"/>
                <a:cs typeface="+mn-cs"/>
              </a:rPr>
              <a:pPr marL="0" indent="0" algn="l"/>
              <a:t>Total Orders=50</a:t>
            </a:fld>
            <a:endParaRPr lang="en-IN" sz="1600" b="1" i="1" u="none" strike="noStrike">
              <a:solidFill>
                <a:schemeClr val="bg1"/>
              </a:solidFill>
              <a:latin typeface="Algerian" panose="04020705040A02060702" pitchFamily="82" charset="0"/>
              <a:ea typeface="+mn-ea"/>
              <a:cs typeface="+mn-cs"/>
            </a:endParaRPr>
          </a:p>
        </xdr:txBody>
      </xdr:sp>
      <xdr:pic>
        <xdr:nvPicPr>
          <xdr:cNvPr id="20" name="Picture 19">
            <a:extLst>
              <a:ext uri="{FF2B5EF4-FFF2-40B4-BE49-F238E27FC236}">
                <a16:creationId xmlns:a16="http://schemas.microsoft.com/office/drawing/2014/main" id="{98572F69-3949-FF1B-2014-78C4E2263E58}"/>
              </a:ext>
            </a:extLst>
          </xdr:cNvPr>
          <xdr:cNvPicPr>
            <a:picLocks noChangeAspect="1"/>
          </xdr:cNvPicPr>
        </xdr:nvPicPr>
        <xdr:blipFill>
          <a:blip xmlns:r="http://schemas.openxmlformats.org/officeDocument/2006/relationships" r:embed="rId10">
            <a:extLst>
              <a:ext uri="{BEBA8EAE-BF5A-486C-A8C5-ECC9F3942E4B}">
                <a14:imgProps xmlns:a14="http://schemas.microsoft.com/office/drawing/2010/main">
                  <a14:imgLayer r:embed="rId11">
                    <a14:imgEffect>
                      <a14:backgroundRemoval t="10000" b="91176" l="9764" r="89899">
                        <a14:foregroundMark x1="45118" y1="17059" x2="48148" y2="55294"/>
                        <a14:foregroundMark x1="48148" y1="55294" x2="74074" y2="47647"/>
                        <a14:foregroundMark x1="74074" y1="47647" x2="49158" y2="52941"/>
                        <a14:foregroundMark x1="37710" y1="31765" x2="53199" y2="62353"/>
                        <a14:foregroundMark x1="53199" y1="62353" x2="41077" y2="38824"/>
                        <a14:foregroundMark x1="41077" y1="38824" x2="59259" y2="34706"/>
                        <a14:foregroundMark x1="59259" y1="34706" x2="64310" y2="64706"/>
                        <a14:foregroundMark x1="64310" y1="64706" x2="51515" y2="62941"/>
                        <a14:foregroundMark x1="39731" y1="36471" x2="47138" y2="65294"/>
                        <a14:foregroundMark x1="47138" y1="65294" x2="57912" y2="68824"/>
                        <a14:foregroundMark x1="52525" y1="60000" x2="62626" y2="59412"/>
                        <a14:foregroundMark x1="61953" y1="38824" x2="65320" y2="51176"/>
                        <a14:foregroundMark x1="44781" y1="71176" x2="44781" y2="71176"/>
                        <a14:foregroundMark x1="44781" y1="71176" x2="44444" y2="70588"/>
                        <a14:foregroundMark x1="62626" y1="70588" x2="59933" y2="71765"/>
                        <a14:foregroundMark x1="40741" y1="14118" x2="57576" y2="13529"/>
                        <a14:foregroundMark x1="57576" y1="13529" x2="61279" y2="25294"/>
                        <a14:foregroundMark x1="42424" y1="87647" x2="55892" y2="91176"/>
                        <a14:foregroundMark x1="43771" y1="11176" x2="54882" y2="10588"/>
                      </a14:backgroundRemoval>
                    </a14:imgEffect>
                  </a14:imgLayer>
                </a14:imgProps>
              </a:ext>
            </a:extLst>
          </a:blip>
          <a:stretch>
            <a:fillRect/>
          </a:stretch>
        </xdr:blipFill>
        <xdr:spPr>
          <a:xfrm>
            <a:off x="4831081" y="1077980"/>
            <a:ext cx="1851659" cy="1147060"/>
          </a:xfrm>
          <a:prstGeom prst="rect">
            <a:avLst/>
          </a:prstGeom>
          <a:solidFill>
            <a:schemeClr val="tx1"/>
          </a:solidFill>
        </xdr:spPr>
      </xdr:pic>
    </xdr:grpSp>
    <xdr:clientData/>
  </xdr:twoCellAnchor>
  <xdr:twoCellAnchor>
    <xdr:from>
      <xdr:col>11</xdr:col>
      <xdr:colOff>76200</xdr:colOff>
      <xdr:row>3</xdr:row>
      <xdr:rowOff>137160</xdr:rowOff>
    </xdr:from>
    <xdr:to>
      <xdr:col>14</xdr:col>
      <xdr:colOff>601980</xdr:colOff>
      <xdr:row>12</xdr:row>
      <xdr:rowOff>68579</xdr:rowOff>
    </xdr:to>
    <xdr:grpSp>
      <xdr:nvGrpSpPr>
        <xdr:cNvPr id="29" name="Group 28">
          <a:extLst>
            <a:ext uri="{FF2B5EF4-FFF2-40B4-BE49-F238E27FC236}">
              <a16:creationId xmlns:a16="http://schemas.microsoft.com/office/drawing/2014/main" id="{2315AE08-615C-0E16-AD53-999B44111165}"/>
            </a:ext>
          </a:extLst>
        </xdr:cNvPr>
        <xdr:cNvGrpSpPr/>
      </xdr:nvGrpSpPr>
      <xdr:grpSpPr>
        <a:xfrm>
          <a:off x="6781800" y="685800"/>
          <a:ext cx="2354580" cy="1577339"/>
          <a:chOff x="6781800" y="685800"/>
          <a:chExt cx="2354580" cy="1577339"/>
        </a:xfrm>
        <a:solidFill>
          <a:schemeClr val="tx1"/>
        </a:solidFill>
      </xdr:grpSpPr>
      <xdr:sp macro="" textlink="$A$42">
        <xdr:nvSpPr>
          <xdr:cNvPr id="14" name="Rectangle 13">
            <a:extLst>
              <a:ext uri="{FF2B5EF4-FFF2-40B4-BE49-F238E27FC236}">
                <a16:creationId xmlns:a16="http://schemas.microsoft.com/office/drawing/2014/main" id="{8411A139-F255-3F4F-D3F1-EE9309ABFBB7}"/>
              </a:ext>
            </a:extLst>
          </xdr:cNvPr>
          <xdr:cNvSpPr/>
        </xdr:nvSpPr>
        <xdr:spPr>
          <a:xfrm>
            <a:off x="6781800" y="685800"/>
            <a:ext cx="2354580" cy="1577339"/>
          </a:xfrm>
          <a:prstGeom prst="rect">
            <a:avLst/>
          </a:prstGeom>
          <a:grp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48D04558-7C57-4C3D-8F3E-99E6F60B7C01}" type="TxLink">
              <a:rPr lang="en-US" sz="1400" b="1" i="1" u="none" strike="noStrike">
                <a:solidFill>
                  <a:schemeClr val="bg1"/>
                </a:solidFill>
                <a:latin typeface="Algerian" panose="04020705040A02060702" pitchFamily="82" charset="0"/>
                <a:ea typeface="+mn-ea"/>
                <a:cs typeface="+mn-cs"/>
              </a:rPr>
              <a:pPr marL="0" indent="0" algn="l"/>
              <a:t>Avg Profit Margin=0.16</a:t>
            </a:fld>
            <a:endParaRPr lang="en-IN" sz="1400" b="1" i="1" u="none" strike="noStrike">
              <a:solidFill>
                <a:schemeClr val="bg1"/>
              </a:solidFill>
              <a:latin typeface="Algerian" panose="04020705040A02060702" pitchFamily="82" charset="0"/>
              <a:ea typeface="+mn-ea"/>
              <a:cs typeface="+mn-cs"/>
            </a:endParaRPr>
          </a:p>
        </xdr:txBody>
      </xdr:sp>
      <xdr:pic>
        <xdr:nvPicPr>
          <xdr:cNvPr id="25" name="Picture 24" descr="Profit Symbol Stock Illustration ...">
            <a:extLst>
              <a:ext uri="{FF2B5EF4-FFF2-40B4-BE49-F238E27FC236}">
                <a16:creationId xmlns:a16="http://schemas.microsoft.com/office/drawing/2014/main" id="{75260681-1F14-DA38-455F-4C0F28AB4A02}"/>
              </a:ext>
            </a:extLst>
          </xdr:cNvPr>
          <xdr:cNvPicPr>
            <a:picLocks noChangeAspect="1"/>
          </xdr:cNvPicPr>
        </xdr:nvPicPr>
        <xdr:blipFill>
          <a:blip xmlns:r="http://schemas.openxmlformats.org/officeDocument/2006/relationships" r:embed="rId12"/>
          <a:stretch>
            <a:fillRect/>
          </a:stretch>
        </xdr:blipFill>
        <xdr:spPr>
          <a:xfrm>
            <a:off x="6865620" y="1036320"/>
            <a:ext cx="2232660" cy="1127760"/>
          </a:xfrm>
          <a:prstGeom prst="rect">
            <a:avLst/>
          </a:prstGeom>
          <a:grpFill/>
        </xdr:spPr>
      </xdr:pic>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nesh Singh" refreshedDate="46038.981615277778" createdVersion="8" refreshedVersion="8" minRefreshableVersion="3" recordCount="50" xr:uid="{B76F98BE-943B-41D1-BD24-82EC00ACFC66}">
  <cacheSource type="worksheet">
    <worksheetSource name="Table1"/>
  </cacheSource>
  <cacheFields count="47">
    <cacheField name="Order ID" numFmtId="0">
      <sharedItems containsSemiMixedTypes="0" containsString="0" containsNumber="1" containsInteger="1" minValue="1001" maxValue="1050"/>
    </cacheField>
    <cacheField name="Customer Name" numFmtId="0">
      <sharedItems/>
    </cacheField>
    <cacheField name="Region" numFmtId="0">
      <sharedItems count="4">
        <s v="East"/>
        <s v="West"/>
        <s v="South"/>
        <s v="North"/>
      </sharedItems>
    </cacheField>
    <cacheField name="Product Category" numFmtId="0">
      <sharedItems count="3">
        <s v="Furniture"/>
        <s v="Office Supplies"/>
        <s v="Technology"/>
      </sharedItems>
    </cacheField>
    <cacheField name="Product Name" numFmtId="0">
      <sharedItems count="37">
        <s v="Chair"/>
        <s v="Stapler"/>
        <s v="Laptop"/>
        <s v="Desk"/>
        <s v="Pen Set"/>
        <s v="Mouse"/>
        <s v="Cabinet"/>
        <s v="Notebook"/>
        <s v="Printer"/>
        <s v="Sofa"/>
        <s v="Paper Pack"/>
        <s v="Keyboard"/>
        <s v="Bookcase"/>
        <s v="Marker Set"/>
        <s v="Monitor"/>
        <s v="Table"/>
        <s v="Envelope Pack"/>
        <s v="Webcam"/>
        <s v="Recliner"/>
        <s v="File Folder"/>
        <s v="Headphones"/>
        <s v="Wardrobe"/>
        <s v="Calculator"/>
        <s v="Router"/>
        <s v="Stool"/>
        <s v="Binder"/>
        <s v="Tablet"/>
        <s v="Couch"/>
        <s v="Sticky Notes"/>
        <s v="External HDD"/>
        <s v="Tape"/>
        <s v="Smartwatch"/>
        <s v="Bed Frame"/>
        <s v="Printer Paper"/>
        <s v="Projector"/>
        <s v="Shelf"/>
        <s v="Clip Set"/>
      </sharedItems>
    </cacheField>
    <cacheField name="Sales" numFmtId="0">
      <sharedItems containsSemiMixedTypes="0" containsString="0" containsNumber="1" containsInteger="1" minValue="50" maxValue="75000"/>
    </cacheField>
    <cacheField name="Cost" numFmtId="0">
      <sharedItems containsSemiMixedTypes="0" containsString="0" containsNumber="1" minValue="35" maxValue="52500"/>
    </cacheField>
    <cacheField name="Quantity" numFmtId="0">
      <sharedItems containsSemiMixedTypes="0" containsString="0" containsNumber="1" containsInteger="1" minValue="1" maxValue="10"/>
    </cacheField>
    <cacheField name="Discount" numFmtId="0">
      <sharedItems containsSemiMixedTypes="0" containsString="0" containsNumber="1" minValue="0" maxValue="0.2"/>
    </cacheField>
    <cacheField name="Profit" numFmtId="0">
      <sharedItems containsSemiMixedTypes="0" containsString="0" containsNumber="1" minValue="15" maxValue="22500"/>
    </cacheField>
    <cacheField name="Order Date" numFmtId="14">
      <sharedItems containsSemiMixedTypes="0" containsNonDate="0" containsDate="1" containsString="0" minDate="2023-01-01T00:00:00" maxDate="2023-03-01T00:00:00" count="50">
        <d v="2023-01-01T00:00:00"/>
        <d v="2023-01-03T00:00:00"/>
        <d v="2023-01-05T00:00:00"/>
        <d v="2023-01-07T00:00:00"/>
        <d v="2023-01-09T00:00:00"/>
        <d v="2023-01-11T00:00:00"/>
        <d v="2023-01-13T00:00:00"/>
        <d v="2023-01-15T00:00:00"/>
        <d v="2023-01-17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sharedItems>
      <fieldGroup par="46"/>
    </cacheField>
    <cacheField name="Delivery Date" numFmtId="14">
      <sharedItems containsSemiMixedTypes="0" containsNonDate="0" containsDate="1" containsString="0" minDate="2023-01-02T00:00:00" maxDate="2023-03-05T00:00:00"/>
    </cacheField>
    <cacheField name="Total Sales" numFmtId="0">
      <sharedItems containsSemiMixedTypes="0" containsString="0" containsNumber="1" minValue="50" maxValue="63750"/>
    </cacheField>
    <cacheField name="Profit Margin (%)" numFmtId="9">
      <sharedItems containsSemiMixedTypes="0" containsString="0" containsNumber="1" minValue="0.10666666666666667" maxValue="0.20833333333333334"/>
    </cacheField>
    <cacheField name="Order Month" numFmtId="0">
      <sharedItems count="2">
        <s v="January"/>
        <s v="February"/>
      </sharedItems>
    </cacheField>
    <cacheField name="Order Weekday" numFmtId="0">
      <sharedItems/>
    </cacheField>
    <cacheField name="Product Code" numFmtId="0">
      <sharedItems/>
    </cacheField>
    <cacheField name="Customer Segment" numFmtId="0">
      <sharedItems count="3">
        <s v="New"/>
        <s v="VIP"/>
        <s v="Regular"/>
      </sharedItems>
    </cacheField>
    <cacheField name="Delivery Status" numFmtId="0">
      <sharedItems count="2">
        <s v="Delivered"/>
        <s v="Delayed"/>
      </sharedItems>
    </cacheField>
    <cacheField name="Discount Amount" numFmtId="0">
      <sharedItems containsSemiMixedTypes="0" containsString="0" containsNumber="1" minValue="0" maxValue="11250"/>
    </cacheField>
    <cacheField name="Profit Category" numFmtId="0">
      <sharedItems/>
    </cacheField>
    <cacheField name="Deal Type" numFmtId="0">
      <sharedItems/>
    </cacheField>
    <cacheField name="Region Type" numFmtId="0">
      <sharedItems/>
    </cacheField>
    <cacheField name="Product Name 5 Characters" numFmtId="0">
      <sharedItems/>
    </cacheField>
    <cacheField name="Order Month Number" numFmtId="0">
      <sharedItems containsSemiMixedTypes="0" containsString="0" containsNumber="1" containsInteger="1" minValue="1" maxValue="2"/>
    </cacheField>
    <cacheField name="Name" numFmtId="0">
      <sharedItems/>
    </cacheField>
    <cacheField name="DateDiff" numFmtId="14">
      <sharedItems containsSemiMixedTypes="0" containsNonDate="0" containsDate="1" containsString="0" minDate="2022-12-22T00:00:00" maxDate="2023-02-19T00:00:00"/>
    </cacheField>
    <cacheField name="Text Discount" numFmtId="0">
      <sharedItems/>
    </cacheField>
    <cacheField name="Delivery Date2" numFmtId="14">
      <sharedItems containsSemiMixedTypes="0" containsNonDate="0" containsDate="1" containsString="0" minDate="2023-01-11T00:00:00" maxDate="2023-03-11T00:00:00"/>
    </cacheField>
    <cacheField name="Year" numFmtId="0">
      <sharedItems containsSemiMixedTypes="0" containsString="0" containsNumber="1" containsInteger="1" minValue="2023" maxValue="2023"/>
    </cacheField>
    <cacheField name="Birthdate" numFmtId="14">
      <sharedItems containsSemiMixedTypes="0" containsNonDate="0" containsDate="1" containsString="0" minDate="1981-04-11T00:00:00" maxDate="2001-10-04T00:00:00"/>
    </cacheField>
    <cacheField name="Age" numFmtId="0">
      <sharedItems containsSemiMixedTypes="0" containsString="0" containsNumber="1" containsInteger="1" minValue="24" maxValue="44"/>
    </cacheField>
    <cacheField name="Week Number" numFmtId="0">
      <sharedItems containsSemiMixedTypes="0" containsString="0" containsNumber="1" containsInteger="1" minValue="1" maxValue="9"/>
    </cacheField>
    <cacheField name="Net Workdays" numFmtId="0">
      <sharedItems containsSemiMixedTypes="0" containsString="0" containsNumber="1" containsInteger="1" minValue="1" maxValue="9"/>
    </cacheField>
    <cacheField name="Week Day" numFmtId="0">
      <sharedItems containsSemiMixedTypes="0" containsString="0" containsNumber="1" containsInteger="1" minValue="1" maxValue="7"/>
    </cacheField>
    <cacheField name="OrderDate" numFmtId="14">
      <sharedItems/>
    </cacheField>
    <cacheField name="Rank" numFmtId="0">
      <sharedItems containsSemiMixedTypes="0" containsString="0" containsNumber="1" containsInteger="1" minValue="1" maxValue="558"/>
    </cacheField>
    <cacheField name="Offset Sale" numFmtId="0">
      <sharedItems containsSemiMixedTypes="0" containsString="0" containsNumber="1" containsInteger="1" minValue="0" maxValue="1798620"/>
    </cacheField>
    <cacheField name="Avg Days" numFmtId="14">
      <sharedItems containsSemiMixedTypes="0" containsNonDate="0" containsDate="1" containsString="0" minDate="2023-01-03T00:00:00" maxDate="2023-03-01T00:00:00"/>
    </cacheField>
    <cacheField name="Profit Grade" numFmtId="0">
      <sharedItems/>
    </cacheField>
    <cacheField name="Running Total" numFmtId="0">
      <sharedItems containsSemiMixedTypes="0" containsString="0" containsNumber="1" containsInteger="1" minValue="1200" maxValue="314900"/>
    </cacheField>
    <cacheField name="Loan Amount" numFmtId="0">
      <sharedItems containsSemiMixedTypes="0" containsString="0" containsNumber="1" containsInteger="1" minValue="1051688" maxValue="2463669"/>
    </cacheField>
    <cacheField name="Interest Rate" numFmtId="0">
      <sharedItems containsSemiMixedTypes="0" containsString="0" containsNumber="1" containsInteger="1" minValue="8" maxValue="12"/>
    </cacheField>
    <cacheField name="Tenure (Months)" numFmtId="0">
      <sharedItems containsSemiMixedTypes="0" containsString="0" containsNumber="1" containsInteger="1" minValue="5" maxValue="12"/>
    </cacheField>
    <cacheField name="EMI" numFmtId="8">
      <sharedItems containsSemiMixedTypes="0" containsString="0" containsNumber="1" minValue="598201.25" maxValue="2319065"/>
    </cacheField>
    <cacheField name="Days (Order Date)" numFmtId="0" databaseField="0">
      <fieldGroup base="10">
        <rangePr groupBy="days" startDate="2023-01-01T00:00:00" endDate="2023-03-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3-2023"/>
        </groupItems>
      </fieldGroup>
    </cacheField>
    <cacheField name="Months (Order Date)" numFmtId="0" databaseField="0">
      <fieldGroup base="10">
        <rangePr groupBy="months" startDate="2023-01-01T00:00:00" endDate="2023-03-01T00:00:00"/>
        <groupItems count="14">
          <s v="&lt;01-01-2023"/>
          <s v="Jan"/>
          <s v="Feb"/>
          <s v="Mar"/>
          <s v="Apr"/>
          <s v="May"/>
          <s v="Jun"/>
          <s v="Jul"/>
          <s v="Aug"/>
          <s v="Sep"/>
          <s v="Oct"/>
          <s v="Nov"/>
          <s v="Dec"/>
          <s v="&gt;01-03-2023"/>
        </groupItems>
      </fieldGroup>
    </cacheField>
  </cacheFields>
  <extLst>
    <ext xmlns:x14="http://schemas.microsoft.com/office/spreadsheetml/2009/9/main" uri="{725AE2AE-9491-48be-B2B4-4EB974FC3084}">
      <x14:pivotCacheDefinition pivotCacheId="16265764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01"/>
    <s v="Alice Smith"/>
    <x v="0"/>
    <x v="0"/>
    <x v="0"/>
    <n v="1200"/>
    <n v="840"/>
    <n v="2"/>
    <n v="0.1"/>
    <n v="360"/>
    <x v="0"/>
    <d v="2023-01-02T00:00:00"/>
    <n v="1080"/>
    <n v="0.16666666666666666"/>
    <x v="0"/>
    <s v="Sunday"/>
    <s v="F001"/>
    <x v="0"/>
    <x v="0"/>
    <n v="120"/>
    <s v="Low Profit"/>
    <s v="Ok Deal"/>
    <s v="High Priority Region"/>
    <s v="Chair"/>
    <n v="1"/>
    <s v="Smith,  Alice"/>
    <d v="2022-12-22T00:00:00"/>
    <s v="10%"/>
    <d v="2023-01-11T00:00:00"/>
    <n v="2023"/>
    <d v="1987-01-02T00:00:00"/>
    <n v="39"/>
    <n v="1"/>
    <n v="1"/>
    <n v="1"/>
    <s v="Old Order"/>
    <n v="393"/>
    <n v="1798620"/>
    <d v="2023-01-03T00:00:00"/>
    <s v="D"/>
    <n v="1200"/>
    <n v="1360610"/>
    <n v="10"/>
    <n v="10"/>
    <n v="1133841.6666666667"/>
  </r>
  <r>
    <n v="1002"/>
    <s v="Bob Johnson"/>
    <x v="1"/>
    <x v="1"/>
    <x v="1"/>
    <n v="150"/>
    <n v="105"/>
    <n v="5"/>
    <n v="0.05"/>
    <n v="45"/>
    <x v="1"/>
    <d v="2023-01-11T00:00:00"/>
    <n v="142.5"/>
    <n v="0.2"/>
    <x v="0"/>
    <s v="Tuesday"/>
    <s v="OS001"/>
    <x v="0"/>
    <x v="1"/>
    <n v="7.5"/>
    <s v="Low Profit"/>
    <s v="Bulk Deal"/>
    <s v="High Priority Region"/>
    <s v="Stapl"/>
    <n v="1"/>
    <s v="Johnson,  Bob"/>
    <d v="2022-12-24T00:00:00"/>
    <s v="5%"/>
    <d v="2023-01-13T00:00:00"/>
    <n v="2023"/>
    <d v="1997-08-14T00:00:00"/>
    <n v="28"/>
    <n v="1"/>
    <n v="7"/>
    <n v="3"/>
    <s v="Old Order"/>
    <n v="515"/>
    <n v="1753674"/>
    <d v="2023-01-05T00:00:00"/>
    <s v="D"/>
    <n v="1350"/>
    <n v="2069646"/>
    <n v="8"/>
    <n v="8"/>
    <n v="1379764"/>
  </r>
  <r>
    <n v="1003"/>
    <s v="Carol Lee"/>
    <x v="2"/>
    <x v="2"/>
    <x v="2"/>
    <n v="75000"/>
    <n v="52500"/>
    <n v="1"/>
    <n v="0.15"/>
    <n v="22500"/>
    <x v="2"/>
    <d v="2023-01-08T00:00:00"/>
    <n v="63750"/>
    <n v="0.10666666666666667"/>
    <x v="0"/>
    <s v="Thursday"/>
    <s v="T001"/>
    <x v="1"/>
    <x v="0"/>
    <n v="11250"/>
    <s v="High Profit"/>
    <s v="Ok Deal"/>
    <s v="Only Region"/>
    <s v="Lapto"/>
    <n v="1"/>
    <s v="Lee,  Carol"/>
    <d v="2022-12-26T00:00:00"/>
    <s v="15%"/>
    <d v="2023-01-15T00:00:00"/>
    <n v="2023"/>
    <d v="2000-05-05T00:00:00"/>
    <n v="25"/>
    <n v="1"/>
    <n v="2"/>
    <n v="5"/>
    <s v="Old Order"/>
    <n v="1"/>
    <n v="1708727"/>
    <d v="2023-01-07T00:00:00"/>
    <s v="A"/>
    <n v="76350"/>
    <n v="1860325"/>
    <n v="10"/>
    <n v="12"/>
    <n v="1860325"/>
  </r>
  <r>
    <n v="1004"/>
    <s v="David Brown"/>
    <x v="3"/>
    <x v="0"/>
    <x v="3"/>
    <n v="5000"/>
    <n v="3500"/>
    <n v="1"/>
    <n v="0"/>
    <n v="1500"/>
    <x v="3"/>
    <d v="2023-01-10T00:00:00"/>
    <n v="5000"/>
    <n v="0.18"/>
    <x v="0"/>
    <s v="Saturday"/>
    <s v="F001"/>
    <x v="2"/>
    <x v="0"/>
    <n v="0"/>
    <s v="High Profit"/>
    <s v="Ok Deal"/>
    <s v="Only Region"/>
    <s v="Desk"/>
    <n v="1"/>
    <s v="Brown,  David"/>
    <d v="2022-12-28T00:00:00"/>
    <s v="0%"/>
    <d v="2023-01-17T00:00:00"/>
    <n v="2023"/>
    <d v="1998-04-18T00:00:00"/>
    <n v="27"/>
    <n v="1"/>
    <n v="2"/>
    <n v="7"/>
    <s v="Old Order"/>
    <n v="292"/>
    <n v="1663779"/>
    <d v="2023-01-09T00:00:00"/>
    <s v="B"/>
    <n v="81350"/>
    <n v="1766582"/>
    <n v="9"/>
    <n v="5"/>
    <n v="736075.83333333326"/>
  </r>
  <r>
    <n v="1005"/>
    <s v="Eva Green"/>
    <x v="0"/>
    <x v="1"/>
    <x v="4"/>
    <n v="300"/>
    <n v="210"/>
    <n v="3"/>
    <n v="0.05"/>
    <n v="90"/>
    <x v="4"/>
    <d v="2023-01-17T00:00:00"/>
    <n v="285"/>
    <n v="0.16666666666666666"/>
    <x v="0"/>
    <s v="Monday"/>
    <s v="OS001"/>
    <x v="0"/>
    <x v="1"/>
    <n v="15"/>
    <s v="Low Profit"/>
    <s v="Bulk Deal"/>
    <s v="High Priority Region"/>
    <s v="Pen S"/>
    <n v="1"/>
    <s v="Green,  Eva"/>
    <d v="2022-12-30T00:00:00"/>
    <s v="5%"/>
    <d v="2023-01-19T00:00:00"/>
    <n v="2023"/>
    <d v="1991-03-08T00:00:00"/>
    <n v="34"/>
    <n v="2"/>
    <n v="7"/>
    <n v="2"/>
    <s v="Old Order"/>
    <n v="489"/>
    <n v="1618830"/>
    <d v="2023-01-11T00:00:00"/>
    <s v="D"/>
    <n v="81650"/>
    <n v="1893285"/>
    <n v="8"/>
    <n v="10"/>
    <n v="1577737.5"/>
  </r>
  <r>
    <n v="1006"/>
    <s v="Frank White"/>
    <x v="1"/>
    <x v="2"/>
    <x v="5"/>
    <n v="800"/>
    <n v="560"/>
    <n v="2"/>
    <n v="0"/>
    <n v="240"/>
    <x v="5"/>
    <d v="2023-01-13T00:00:00"/>
    <n v="800"/>
    <n v="0.1875"/>
    <x v="0"/>
    <s v="Wednesday"/>
    <s v="T001"/>
    <x v="0"/>
    <x v="0"/>
    <n v="0"/>
    <s v="Low Profit"/>
    <s v="Ok Deal"/>
    <s v="High Priority Region"/>
    <s v="Mouse"/>
    <n v="1"/>
    <s v="White,  Frank"/>
    <d v="2023-01-01T00:00:00"/>
    <s v="0%"/>
    <d v="2023-01-21T00:00:00"/>
    <n v="2023"/>
    <d v="1993-10-14T00:00:00"/>
    <n v="32"/>
    <n v="2"/>
    <n v="3"/>
    <n v="4"/>
    <s v="Old Order"/>
    <n v="462"/>
    <n v="1573880"/>
    <d v="2023-01-13T00:00:00"/>
    <s v="D"/>
    <n v="82450"/>
    <n v="2451287"/>
    <n v="11"/>
    <n v="8"/>
    <n v="1634191.3333333333"/>
  </r>
  <r>
    <n v="1007"/>
    <s v="Grace Hall"/>
    <x v="2"/>
    <x v="0"/>
    <x v="6"/>
    <n v="2500"/>
    <n v="1750"/>
    <n v="1"/>
    <n v="0.1"/>
    <n v="750"/>
    <x v="6"/>
    <d v="2023-01-19T00:00:00"/>
    <n v="2250"/>
    <n v="0.16"/>
    <x v="0"/>
    <s v="Friday"/>
    <s v="F001"/>
    <x v="0"/>
    <x v="1"/>
    <n v="250"/>
    <s v="Low Profit"/>
    <s v="Ok Deal"/>
    <s v="Only Region"/>
    <s v="Cabin"/>
    <n v="1"/>
    <s v="Hall,  Grace"/>
    <d v="2023-01-03T00:00:00"/>
    <s v="10%"/>
    <d v="2023-01-23T00:00:00"/>
    <n v="2023"/>
    <d v="1987-10-15T00:00:00"/>
    <n v="38"/>
    <n v="2"/>
    <n v="5"/>
    <n v="6"/>
    <s v="Old Order"/>
    <n v="321"/>
    <n v="1528929"/>
    <d v="2023-01-15T00:00:00"/>
    <s v="C"/>
    <n v="84950"/>
    <n v="1520300"/>
    <n v="12"/>
    <n v="12"/>
    <n v="1520300"/>
  </r>
  <r>
    <n v="1008"/>
    <s v="Henry King"/>
    <x v="3"/>
    <x v="1"/>
    <x v="7"/>
    <n v="200"/>
    <n v="140"/>
    <n v="4"/>
    <n v="0"/>
    <n v="60"/>
    <x v="7"/>
    <d v="2023-01-16T00:00:00"/>
    <n v="200"/>
    <n v="0.2"/>
    <x v="0"/>
    <s v="Sunday"/>
    <s v="OS001"/>
    <x v="0"/>
    <x v="0"/>
    <n v="0"/>
    <s v="Low Profit"/>
    <s v="Ok Deal"/>
    <s v="Only Region"/>
    <s v="Noteb"/>
    <n v="1"/>
    <s v="King,  Henry"/>
    <d v="2023-01-05T00:00:00"/>
    <s v="0%"/>
    <d v="2023-01-25T00:00:00"/>
    <n v="2023"/>
    <d v="2000-02-10T00:00:00"/>
    <n v="25"/>
    <n v="3"/>
    <n v="1"/>
    <n v="1"/>
    <s v="Old Order"/>
    <n v="506"/>
    <n v="1483977"/>
    <d v="2023-01-17T00:00:00"/>
    <s v="D"/>
    <n v="85150"/>
    <n v="2319065"/>
    <n v="12"/>
    <n v="12"/>
    <n v="2319065"/>
  </r>
  <r>
    <n v="1009"/>
    <s v="Ivy Scott"/>
    <x v="0"/>
    <x v="2"/>
    <x v="8"/>
    <n v="12000"/>
    <n v="8400"/>
    <n v="1"/>
    <n v="0.1"/>
    <n v="3600"/>
    <x v="8"/>
    <d v="2023-01-27T00:00:00"/>
    <n v="10800"/>
    <n v="0.125"/>
    <x v="0"/>
    <s v="Tuesday"/>
    <s v="T001"/>
    <x v="1"/>
    <x v="1"/>
    <n v="1200"/>
    <s v="High Profit"/>
    <s v="Ok Deal"/>
    <s v="High Priority Region"/>
    <s v="Print"/>
    <n v="1"/>
    <s v="Scott,  Ivy"/>
    <d v="2023-01-07T00:00:00"/>
    <s v="10%"/>
    <d v="2023-01-27T00:00:00"/>
    <n v="2023"/>
    <d v="1987-11-01T00:00:00"/>
    <n v="38"/>
    <n v="3"/>
    <n v="9"/>
    <n v="3"/>
    <s v="Old Order"/>
    <n v="262"/>
    <n v="1439024"/>
    <d v="2023-01-18T16:00:00"/>
    <s v="A"/>
    <n v="97150"/>
    <n v="2355476"/>
    <n v="10"/>
    <n v="5"/>
    <n v="981448.33333333326"/>
  </r>
  <r>
    <n v="1010"/>
    <s v="Jack Turner"/>
    <x v="1"/>
    <x v="0"/>
    <x v="9"/>
    <n v="15000"/>
    <n v="10500"/>
    <n v="1"/>
    <n v="0.2"/>
    <n v="4500"/>
    <x v="9"/>
    <d v="2023-01-27T00:00:00"/>
    <n v="12000"/>
    <n v="0.16666666666666666"/>
    <x v="0"/>
    <s v="Thursday"/>
    <s v="F001"/>
    <x v="1"/>
    <x v="1"/>
    <n v="3000"/>
    <s v="High Profit"/>
    <s v="Ok Deal"/>
    <s v="High Priority Region"/>
    <s v="Sofa"/>
    <n v="1"/>
    <s v="Turner,  Jack"/>
    <d v="2023-01-09T00:00:00"/>
    <s v="20%"/>
    <d v="2023-01-29T00:00:00"/>
    <n v="2023"/>
    <d v="2000-04-03T00:00:00"/>
    <n v="25"/>
    <n v="3"/>
    <n v="7"/>
    <n v="5"/>
    <s v="Old Order"/>
    <n v="259"/>
    <n v="1394070"/>
    <d v="2023-01-20T00:00:00"/>
    <s v="A"/>
    <n v="112150"/>
    <n v="1921952"/>
    <n v="11"/>
    <n v="5"/>
    <n v="800813.33333333326"/>
  </r>
  <r>
    <n v="1011"/>
    <s v="Karen Young"/>
    <x v="2"/>
    <x v="1"/>
    <x v="10"/>
    <n v="100"/>
    <n v="70"/>
    <n v="10"/>
    <n v="0"/>
    <n v="30"/>
    <x v="10"/>
    <d v="2023-01-27T00:00:00"/>
    <n v="100"/>
    <n v="0.2"/>
    <x v="0"/>
    <s v="Friday"/>
    <s v="OS001"/>
    <x v="0"/>
    <x v="1"/>
    <n v="0"/>
    <s v="Low Profit"/>
    <s v="Ok Deal"/>
    <s v="Only Region"/>
    <s v="Paper"/>
    <n v="1"/>
    <s v="Young,  Karen"/>
    <d v="2023-01-10T00:00:00"/>
    <s v="0%"/>
    <d v="2023-01-30T00:00:00"/>
    <n v="2023"/>
    <d v="2001-01-15T00:00:00"/>
    <n v="25"/>
    <n v="3"/>
    <n v="6"/>
    <n v="6"/>
    <s v="Old Order"/>
    <n v="537"/>
    <n v="1349115"/>
    <d v="2023-01-21T00:00:00"/>
    <s v="D"/>
    <n v="112250"/>
    <n v="2000350"/>
    <n v="8"/>
    <n v="6"/>
    <n v="1000175"/>
  </r>
  <r>
    <n v="1012"/>
    <s v="Liam Adams"/>
    <x v="3"/>
    <x v="2"/>
    <x v="11"/>
    <n v="500"/>
    <n v="350"/>
    <n v="2"/>
    <n v="0"/>
    <n v="150"/>
    <x v="11"/>
    <d v="2023-01-24T00:00:00"/>
    <n v="500"/>
    <n v="0.16"/>
    <x v="0"/>
    <s v="Saturday"/>
    <s v="T001"/>
    <x v="0"/>
    <x v="0"/>
    <n v="0"/>
    <s v="Low Profit"/>
    <s v="Ok Deal"/>
    <s v="Only Region"/>
    <s v="Keybo"/>
    <n v="1"/>
    <s v="Adams,  Liam"/>
    <d v="2023-01-11T00:00:00"/>
    <s v="0%"/>
    <d v="2023-01-31T00:00:00"/>
    <n v="2023"/>
    <d v="1987-04-08T00:00:00"/>
    <n v="38"/>
    <n v="3"/>
    <n v="2"/>
    <n v="7"/>
    <s v="Old Order"/>
    <n v="479"/>
    <n v="1304159"/>
    <d v="2023-01-22T00:00:00"/>
    <s v="D"/>
    <n v="112750"/>
    <n v="1802551"/>
    <n v="12"/>
    <n v="11"/>
    <n v="1652338.4166666667"/>
  </r>
  <r>
    <n v="1013"/>
    <s v="Mia Roberts"/>
    <x v="0"/>
    <x v="0"/>
    <x v="12"/>
    <n v="4000"/>
    <n v="2800"/>
    <n v="1"/>
    <n v="0.05"/>
    <n v="1200"/>
    <x v="12"/>
    <d v="2023-01-25T00:00:00"/>
    <n v="3800"/>
    <n v="0.15"/>
    <x v="0"/>
    <s v="Sunday"/>
    <s v="F001"/>
    <x v="2"/>
    <x v="0"/>
    <n v="200"/>
    <s v="High Profit"/>
    <s v="Ok Deal"/>
    <s v="High Priority Region"/>
    <s v="Bookc"/>
    <n v="1"/>
    <s v="Roberts,  Mia"/>
    <d v="2023-01-12T00:00:00"/>
    <s v="5%"/>
    <d v="2023-02-01T00:00:00"/>
    <n v="2023"/>
    <d v="1992-07-22T00:00:00"/>
    <n v="33"/>
    <n v="4"/>
    <n v="3"/>
    <n v="1"/>
    <s v="Old Order"/>
    <n v="301"/>
    <n v="1259202"/>
    <d v="2023-01-23T00:00:00"/>
    <s v="B"/>
    <n v="116750"/>
    <n v="1720425"/>
    <n v="12"/>
    <n v="10"/>
    <n v="1433687.5"/>
  </r>
  <r>
    <n v="1014"/>
    <s v="Noah Baker"/>
    <x v="1"/>
    <x v="1"/>
    <x v="13"/>
    <n v="120"/>
    <n v="84"/>
    <n v="3"/>
    <n v="0"/>
    <n v="36"/>
    <x v="13"/>
    <d v="2023-01-30T00:00:00"/>
    <n v="120"/>
    <n v="0.20833333333333334"/>
    <x v="0"/>
    <s v="Monday"/>
    <s v="OS001"/>
    <x v="0"/>
    <x v="1"/>
    <n v="0"/>
    <s v="Low Profit"/>
    <s v="Ok Deal"/>
    <s v="High Priority Region"/>
    <s v="Marke"/>
    <n v="1"/>
    <s v="Baker,  Noah"/>
    <d v="2023-01-13T00:00:00"/>
    <s v="0%"/>
    <d v="2023-02-02T00:00:00"/>
    <n v="2023"/>
    <d v="1983-07-02T00:00:00"/>
    <n v="42"/>
    <n v="4"/>
    <n v="6"/>
    <n v="2"/>
    <s v="Old Order"/>
    <n v="528"/>
    <n v="1214244"/>
    <d v="2023-01-24T00:00:00"/>
    <s v="D"/>
    <n v="116870"/>
    <n v="1801671"/>
    <n v="8"/>
    <n v="12"/>
    <n v="1801671"/>
  </r>
  <r>
    <n v="1015"/>
    <s v="Olivia Lewis"/>
    <x v="2"/>
    <x v="2"/>
    <x v="14"/>
    <n v="9000"/>
    <n v="6300"/>
    <n v="1"/>
    <n v="0.1"/>
    <n v="2700"/>
    <x v="14"/>
    <d v="2023-01-30T00:00:00"/>
    <n v="8100"/>
    <n v="0.13333333333333333"/>
    <x v="0"/>
    <s v="Tuesday"/>
    <s v="T001"/>
    <x v="2"/>
    <x v="1"/>
    <n v="900"/>
    <s v="High Profit"/>
    <s v="Ok Deal"/>
    <s v="Only Region"/>
    <s v="Monit"/>
    <n v="1"/>
    <s v="Lewis,  Olivia"/>
    <d v="2023-01-14T00:00:00"/>
    <s v="10%"/>
    <d v="2023-02-03T00:00:00"/>
    <n v="2023"/>
    <d v="1993-08-05T00:00:00"/>
    <n v="32"/>
    <n v="4"/>
    <n v="5"/>
    <n v="3"/>
    <s v="Old Order"/>
    <n v="277"/>
    <n v="1169285"/>
    <d v="2023-01-25T00:00:00"/>
    <s v="B"/>
    <n v="125870"/>
    <n v="2198965"/>
    <n v="8"/>
    <n v="10"/>
    <n v="1832470.8333333335"/>
  </r>
  <r>
    <n v="1016"/>
    <s v="Paul Walker"/>
    <x v="3"/>
    <x v="0"/>
    <x v="15"/>
    <n v="6000"/>
    <n v="4200"/>
    <n v="1"/>
    <n v="0.05"/>
    <n v="1800"/>
    <x v="15"/>
    <d v="2023-01-26T00:00:00"/>
    <n v="5700"/>
    <n v="0.16666666666666666"/>
    <x v="0"/>
    <s v="Wednesday"/>
    <s v="F001"/>
    <x v="2"/>
    <x v="0"/>
    <n v="300"/>
    <s v="High Profit"/>
    <s v="Ok Deal"/>
    <s v="Only Region"/>
    <s v="Table"/>
    <n v="1"/>
    <s v="Walker,  Paul"/>
    <d v="2023-01-15T00:00:00"/>
    <s v="5%"/>
    <d v="2023-02-04T00:00:00"/>
    <n v="2023"/>
    <d v="2001-07-14T00:00:00"/>
    <n v="24"/>
    <n v="4"/>
    <n v="2"/>
    <n v="4"/>
    <s v="Old Order"/>
    <n v="288"/>
    <n v="1124325"/>
    <d v="2023-01-26T00:00:00"/>
    <s v="B"/>
    <n v="131870"/>
    <n v="1633055"/>
    <n v="8"/>
    <n v="11"/>
    <n v="1496967.0833333333"/>
  </r>
  <r>
    <n v="1017"/>
    <s v="Quinn Hall"/>
    <x v="0"/>
    <x v="1"/>
    <x v="16"/>
    <n v="150"/>
    <n v="105"/>
    <n v="5"/>
    <n v="0"/>
    <n v="45"/>
    <x v="16"/>
    <d v="2023-01-30T00:00:00"/>
    <n v="150"/>
    <n v="0.13333333333333333"/>
    <x v="0"/>
    <s v="Thursday"/>
    <s v="OS001"/>
    <x v="0"/>
    <x v="0"/>
    <n v="0"/>
    <s v="Low Profit"/>
    <s v="Ok Deal"/>
    <s v="High Priority Region"/>
    <s v="Envel"/>
    <n v="1"/>
    <s v="Hall,  Quinn"/>
    <d v="2023-01-16T00:00:00"/>
    <s v="0%"/>
    <d v="2023-02-05T00:00:00"/>
    <n v="2023"/>
    <d v="1981-04-11T00:00:00"/>
    <n v="44"/>
    <n v="4"/>
    <n v="3"/>
    <n v="5"/>
    <s v="Old Order"/>
    <n v="515"/>
    <n v="1079364"/>
    <d v="2023-01-27T00:00:00"/>
    <s v="D"/>
    <n v="132020"/>
    <n v="2010822"/>
    <n v="8"/>
    <n v="12"/>
    <n v="2010822"/>
  </r>
  <r>
    <n v="1018"/>
    <s v="Rachel King"/>
    <x v="1"/>
    <x v="2"/>
    <x v="17"/>
    <n v="800"/>
    <n v="560"/>
    <n v="2"/>
    <n v="0"/>
    <n v="240"/>
    <x v="17"/>
    <d v="2023-01-29T00:00:00"/>
    <n v="800"/>
    <n v="0.15"/>
    <x v="0"/>
    <s v="Friday"/>
    <s v="T001"/>
    <x v="0"/>
    <x v="0"/>
    <n v="0"/>
    <s v="Low Profit"/>
    <s v="Ok Deal"/>
    <s v="High Priority Region"/>
    <s v="Webca"/>
    <n v="1"/>
    <s v="King,  Rachel"/>
    <d v="2023-01-17T00:00:00"/>
    <s v="0%"/>
    <d v="2023-02-06T00:00:00"/>
    <n v="2023"/>
    <d v="1986-06-16T00:00:00"/>
    <n v="39"/>
    <n v="4"/>
    <n v="1"/>
    <n v="6"/>
    <s v="Old Order"/>
    <n v="462"/>
    <n v="1034402"/>
    <d v="2023-01-28T00:00:00"/>
    <s v="D"/>
    <n v="132820"/>
    <n v="2247508"/>
    <n v="9"/>
    <n v="10"/>
    <n v="1872923.3333333335"/>
  </r>
  <r>
    <n v="1019"/>
    <s v="Steve Clark"/>
    <x v="2"/>
    <x v="0"/>
    <x v="18"/>
    <n v="7000"/>
    <n v="4900"/>
    <n v="1"/>
    <n v="0.15"/>
    <n v="2100"/>
    <x v="18"/>
    <d v="2023-02-07T00:00:00"/>
    <n v="5950"/>
    <n v="0.17142857142857143"/>
    <x v="0"/>
    <s v="Saturday"/>
    <s v="F001"/>
    <x v="2"/>
    <x v="1"/>
    <n v="1050"/>
    <s v="High Profit"/>
    <s v="Ok Deal"/>
    <s v="Only Region"/>
    <s v="Recli"/>
    <n v="1"/>
    <s v="Clark,  Steve"/>
    <d v="2023-01-18T00:00:00"/>
    <s v="15%"/>
    <d v="2023-02-07T00:00:00"/>
    <n v="2023"/>
    <d v="1988-08-04T00:00:00"/>
    <n v="37"/>
    <n v="4"/>
    <n v="7"/>
    <n v="7"/>
    <s v="Old Order"/>
    <n v="285"/>
    <n v="989439"/>
    <d v="2023-01-29T00:00:00"/>
    <s v="B"/>
    <n v="139820"/>
    <n v="1944135"/>
    <n v="8"/>
    <n v="8"/>
    <n v="1296090"/>
  </r>
  <r>
    <n v="1020"/>
    <s v="Tina Hall"/>
    <x v="3"/>
    <x v="1"/>
    <x v="19"/>
    <n v="180"/>
    <n v="125.99999999999999"/>
    <n v="4"/>
    <n v="0"/>
    <n v="54.000000000000014"/>
    <x v="19"/>
    <d v="2023-02-04T00:00:00"/>
    <n v="180"/>
    <n v="0.16666666666666666"/>
    <x v="0"/>
    <s v="Sunday"/>
    <s v="OS001"/>
    <x v="0"/>
    <x v="1"/>
    <n v="0"/>
    <s v="Low Profit"/>
    <s v="Ok Deal"/>
    <s v="Only Region"/>
    <s v="File "/>
    <n v="1"/>
    <s v="Hall,  Tina"/>
    <d v="2023-01-19T00:00:00"/>
    <s v="0%"/>
    <d v="2023-02-08T00:00:00"/>
    <n v="2023"/>
    <d v="1993-02-17T00:00:00"/>
    <n v="32"/>
    <n v="5"/>
    <n v="5"/>
    <n v="1"/>
    <s v="Old Order"/>
    <n v="512"/>
    <n v="944475"/>
    <d v="2023-01-30T00:00:00"/>
    <s v="D"/>
    <n v="140000"/>
    <n v="1538219"/>
    <n v="9"/>
    <n v="6"/>
    <n v="769109.5"/>
  </r>
  <r>
    <n v="1021"/>
    <s v="Uma Scott"/>
    <x v="0"/>
    <x v="2"/>
    <x v="20"/>
    <n v="1500"/>
    <n v="1050"/>
    <n v="2"/>
    <n v="0.05"/>
    <n v="450"/>
    <x v="20"/>
    <d v="2023-02-02T00:00:00"/>
    <n v="1425"/>
    <n v="0.13333333333333333"/>
    <x v="0"/>
    <s v="Monday"/>
    <s v="T001"/>
    <x v="0"/>
    <x v="0"/>
    <n v="75"/>
    <s v="Low Profit"/>
    <s v="Ok Deal"/>
    <s v="High Priority Region"/>
    <s v="Headp"/>
    <n v="1"/>
    <s v="Scott,  Uma"/>
    <d v="2023-01-20T00:00:00"/>
    <s v="5%"/>
    <d v="2023-02-09T00:00:00"/>
    <n v="2023"/>
    <d v="1993-04-06T00:00:00"/>
    <n v="32"/>
    <n v="5"/>
    <n v="4"/>
    <n v="2"/>
    <s v="Old Order"/>
    <n v="387"/>
    <n v="899510"/>
    <d v="2023-01-31T00:00:00"/>
    <s v="D"/>
    <n v="141500"/>
    <n v="2068505"/>
    <n v="11"/>
    <n v="11"/>
    <n v="1896129.5833333333"/>
  </r>
  <r>
    <n v="1022"/>
    <s v="Victor Adams"/>
    <x v="1"/>
    <x v="0"/>
    <x v="21"/>
    <n v="12000"/>
    <n v="8400"/>
    <n v="1"/>
    <n v="0.1"/>
    <n v="3600"/>
    <x v="21"/>
    <d v="2023-02-02T00:00:00"/>
    <n v="10800"/>
    <n v="0.16666666666666666"/>
    <x v="0"/>
    <s v="Tuesday"/>
    <s v="F001"/>
    <x v="1"/>
    <x v="0"/>
    <n v="1200"/>
    <s v="High Profit"/>
    <s v="Ok Deal"/>
    <s v="High Priority Region"/>
    <s v="Wardr"/>
    <n v="1"/>
    <s v="Adams,  Victor"/>
    <d v="2023-01-21T00:00:00"/>
    <s v="10%"/>
    <d v="2023-02-10T00:00:00"/>
    <n v="2023"/>
    <d v="1985-12-18T00:00:00"/>
    <n v="40"/>
    <n v="5"/>
    <n v="3"/>
    <n v="3"/>
    <s v="Old Order"/>
    <n v="262"/>
    <n v="854544"/>
    <d v="2023-02-01T00:00:00"/>
    <s v="A"/>
    <n v="153500"/>
    <n v="2105876"/>
    <n v="10"/>
    <n v="12"/>
    <n v="2105876"/>
  </r>
  <r>
    <n v="1023"/>
    <s v="Wendy Brown"/>
    <x v="2"/>
    <x v="1"/>
    <x v="22"/>
    <n v="250"/>
    <n v="175"/>
    <n v="2"/>
    <n v="0"/>
    <n v="75"/>
    <x v="22"/>
    <d v="2023-02-11T00:00:00"/>
    <n v="250"/>
    <n v="0.16"/>
    <x v="1"/>
    <s v="Wednesday"/>
    <s v="OS001"/>
    <x v="0"/>
    <x v="1"/>
    <n v="0"/>
    <s v="Low Profit"/>
    <s v="Ok Deal"/>
    <s v="Only Region"/>
    <s v="Calcu"/>
    <n v="2"/>
    <s v="Brown,  Wendy"/>
    <d v="2023-01-22T00:00:00"/>
    <s v="0%"/>
    <d v="2023-02-11T00:00:00"/>
    <n v="2023"/>
    <d v="1991-04-20T00:00:00"/>
    <n v="34"/>
    <n v="5"/>
    <n v="8"/>
    <n v="4"/>
    <s v="Old Order"/>
    <n v="495"/>
    <n v="809577"/>
    <d v="2023-02-02T00:00:00"/>
    <s v="D"/>
    <n v="153750"/>
    <n v="2234410"/>
    <n v="10"/>
    <n v="7"/>
    <n v="1303405.8333333335"/>
  </r>
  <r>
    <n v="1024"/>
    <s v="Xavier Green"/>
    <x v="3"/>
    <x v="2"/>
    <x v="23"/>
    <n v="1200"/>
    <n v="840"/>
    <n v="1"/>
    <n v="0"/>
    <n v="360"/>
    <x v="23"/>
    <d v="2023-02-08T00:00:00"/>
    <n v="1200"/>
    <n v="0.15"/>
    <x v="1"/>
    <s v="Thursday"/>
    <s v="T001"/>
    <x v="0"/>
    <x v="1"/>
    <n v="0"/>
    <s v="Low Profit"/>
    <s v="Ok Deal"/>
    <s v="Only Region"/>
    <s v="Route"/>
    <n v="2"/>
    <s v="Green,  Xavier"/>
    <d v="2023-01-23T00:00:00"/>
    <s v="0%"/>
    <d v="2023-02-12T00:00:00"/>
    <n v="2023"/>
    <d v="1993-01-04T00:00:00"/>
    <n v="33"/>
    <n v="5"/>
    <n v="5"/>
    <n v="5"/>
    <s v="Old Order"/>
    <n v="393"/>
    <n v="764609"/>
    <d v="2023-02-03T00:00:00"/>
    <s v="D"/>
    <n v="154950"/>
    <n v="1137631"/>
    <n v="8"/>
    <n v="9"/>
    <n v="853223.25"/>
  </r>
  <r>
    <n v="1025"/>
    <s v="Yara White"/>
    <x v="0"/>
    <x v="0"/>
    <x v="24"/>
    <n v="800"/>
    <n v="560"/>
    <n v="2"/>
    <n v="0"/>
    <n v="240"/>
    <x v="24"/>
    <d v="2023-02-05T00:00:00"/>
    <n v="800"/>
    <n v="0.125"/>
    <x v="1"/>
    <s v="Friday"/>
    <s v="F001"/>
    <x v="0"/>
    <x v="0"/>
    <n v="0"/>
    <s v="Low Profit"/>
    <s v="Ok Deal"/>
    <s v="High Priority Region"/>
    <s v="Stool"/>
    <n v="2"/>
    <s v="White,  Yara"/>
    <d v="2023-01-24T00:00:00"/>
    <s v="0%"/>
    <d v="2023-02-13T00:00:00"/>
    <n v="2023"/>
    <d v="2001-10-03T00:00:00"/>
    <n v="24"/>
    <n v="5"/>
    <n v="1"/>
    <n v="6"/>
    <s v="Old Order"/>
    <n v="462"/>
    <n v="719640"/>
    <d v="2023-02-04T00:00:00"/>
    <s v="D"/>
    <n v="155750"/>
    <n v="2164701"/>
    <n v="12"/>
    <n v="9"/>
    <n v="1623525.75"/>
  </r>
  <r>
    <n v="1026"/>
    <s v="Zachary Hall"/>
    <x v="1"/>
    <x v="1"/>
    <x v="25"/>
    <n v="100"/>
    <n v="70"/>
    <n v="3"/>
    <n v="0"/>
    <n v="30"/>
    <x v="25"/>
    <d v="2023-02-11T00:00:00"/>
    <n v="100"/>
    <n v="0.15"/>
    <x v="1"/>
    <s v="Saturday"/>
    <s v="OS001"/>
    <x v="0"/>
    <x v="1"/>
    <n v="0"/>
    <s v="Low Profit"/>
    <s v="Ok Deal"/>
    <s v="High Priority Region"/>
    <s v="Binde"/>
    <n v="2"/>
    <s v="Hall,  Zachary"/>
    <d v="2023-01-25T00:00:00"/>
    <s v="0%"/>
    <d v="2023-02-14T00:00:00"/>
    <n v="2023"/>
    <d v="1982-10-12T00:00:00"/>
    <n v="43"/>
    <n v="5"/>
    <n v="5"/>
    <n v="7"/>
    <s v="Old Order"/>
    <n v="537"/>
    <n v="674670"/>
    <d v="2023-02-05T00:00:00"/>
    <s v="D"/>
    <n v="155850"/>
    <n v="2029710"/>
    <n v="11"/>
    <n v="12"/>
    <n v="2029710"/>
  </r>
  <r>
    <n v="1027"/>
    <s v="Amy Turner"/>
    <x v="2"/>
    <x v="2"/>
    <x v="26"/>
    <n v="4500"/>
    <n v="3150"/>
    <n v="1"/>
    <n v="0.05"/>
    <n v="1350"/>
    <x v="26"/>
    <d v="2023-02-09T00:00:00"/>
    <n v="4275"/>
    <n v="0.1111111111111111"/>
    <x v="1"/>
    <s v="Sunday"/>
    <s v="T001"/>
    <x v="2"/>
    <x v="0"/>
    <n v="225"/>
    <s v="High Profit"/>
    <s v="Ok Deal"/>
    <s v="Only Region"/>
    <s v="Table"/>
    <n v="2"/>
    <s v="Turner,  Amy"/>
    <d v="2023-01-26T00:00:00"/>
    <s v="5%"/>
    <d v="2023-02-15T00:00:00"/>
    <n v="2023"/>
    <d v="1991-08-19T00:00:00"/>
    <n v="34"/>
    <n v="6"/>
    <n v="4"/>
    <n v="1"/>
    <s v="Old Order"/>
    <n v="295"/>
    <n v="629699"/>
    <d v="2023-02-06T00:00:00"/>
    <s v="B"/>
    <n v="160350"/>
    <n v="2135453"/>
    <n v="10"/>
    <n v="10"/>
    <n v="1779544.1666666665"/>
  </r>
  <r>
    <n v="1028"/>
    <s v="Brian Young"/>
    <x v="3"/>
    <x v="0"/>
    <x v="27"/>
    <n v="14000"/>
    <n v="9800"/>
    <n v="1"/>
    <n v="0.2"/>
    <n v="4200"/>
    <x v="27"/>
    <d v="2023-02-13T00:00:00"/>
    <n v="11200"/>
    <n v="0.17857142857142858"/>
    <x v="1"/>
    <s v="Monday"/>
    <s v="F001"/>
    <x v="1"/>
    <x v="1"/>
    <n v="2800"/>
    <s v="High Profit"/>
    <s v="Ok Deal"/>
    <s v="Only Region"/>
    <s v="Couch"/>
    <n v="2"/>
    <s v="Young,  Brian"/>
    <d v="2023-01-27T00:00:00"/>
    <s v="20%"/>
    <d v="2023-02-16T00:00:00"/>
    <n v="2023"/>
    <d v="1992-09-08T00:00:00"/>
    <n v="33"/>
    <n v="6"/>
    <n v="6"/>
    <n v="2"/>
    <s v="Old Order"/>
    <n v="261"/>
    <n v="584727"/>
    <d v="2023-02-07T00:00:00"/>
    <s v="A"/>
    <n v="174350"/>
    <n v="1839758"/>
    <n v="8"/>
    <n v="11"/>
    <n v="1686444.8333333333"/>
  </r>
  <r>
    <n v="1029"/>
    <s v="Chloe Roberts"/>
    <x v="0"/>
    <x v="1"/>
    <x v="28"/>
    <n v="50"/>
    <n v="35"/>
    <n v="5"/>
    <n v="0"/>
    <n v="15"/>
    <x v="28"/>
    <d v="2023-02-16T00:00:00"/>
    <n v="50"/>
    <n v="0.2"/>
    <x v="1"/>
    <s v="Tuesday"/>
    <s v="OS001"/>
    <x v="0"/>
    <x v="1"/>
    <n v="0"/>
    <s v="Low Profit"/>
    <s v="Ok Deal"/>
    <s v="High Priority Region"/>
    <s v="Stick"/>
    <n v="2"/>
    <s v="Roberts,  Chloe"/>
    <d v="2023-01-28T00:00:00"/>
    <s v="0%"/>
    <d v="2023-02-17T00:00:00"/>
    <n v="2023"/>
    <d v="1994-08-13T00:00:00"/>
    <n v="31"/>
    <n v="6"/>
    <n v="8"/>
    <n v="3"/>
    <s v="Old Order"/>
    <n v="558"/>
    <n v="539754"/>
    <d v="2023-02-08T00:00:00"/>
    <s v="D"/>
    <n v="174400"/>
    <n v="2136796"/>
    <n v="10"/>
    <n v="8"/>
    <n v="1424530.6666666667"/>
  </r>
  <r>
    <n v="1030"/>
    <s v="Daniel Lewis"/>
    <x v="1"/>
    <x v="2"/>
    <x v="29"/>
    <n v="3000"/>
    <n v="2100"/>
    <n v="1"/>
    <n v="0.1"/>
    <n v="900"/>
    <x v="29"/>
    <d v="2023-02-16T00:00:00"/>
    <n v="2700"/>
    <n v="0.13333333333333333"/>
    <x v="1"/>
    <s v="Wednesday"/>
    <s v="T001"/>
    <x v="2"/>
    <x v="1"/>
    <n v="300"/>
    <s v="High Profit"/>
    <s v="Ok Deal"/>
    <s v="High Priority Region"/>
    <s v="Exter"/>
    <n v="2"/>
    <s v="Lewis,  Daniel"/>
    <d v="2023-01-29T00:00:00"/>
    <s v="10%"/>
    <d v="2023-02-18T00:00:00"/>
    <n v="2023"/>
    <d v="1999-12-12T00:00:00"/>
    <n v="26"/>
    <n v="6"/>
    <n v="7"/>
    <n v="4"/>
    <s v="Old Order"/>
    <n v="310"/>
    <n v="494780"/>
    <d v="2023-02-09T00:00:00"/>
    <s v="C"/>
    <n v="177400"/>
    <n v="2006126"/>
    <n v="9"/>
    <n v="5"/>
    <n v="835885.83333333326"/>
  </r>
  <r>
    <n v="1031"/>
    <s v="Ella Adams"/>
    <x v="2"/>
    <x v="0"/>
    <x v="6"/>
    <n v="2500"/>
    <n v="1750"/>
    <n v="1"/>
    <n v="0.05"/>
    <n v="750"/>
    <x v="30"/>
    <d v="2023-02-18T00:00:00"/>
    <n v="2375"/>
    <n v="0.16"/>
    <x v="1"/>
    <s v="Thursday"/>
    <s v="F001"/>
    <x v="0"/>
    <x v="1"/>
    <n v="125"/>
    <s v="Low Profit"/>
    <s v="Ok Deal"/>
    <s v="Only Region"/>
    <s v="Cabin"/>
    <n v="2"/>
    <s v="Adams,  Ella"/>
    <d v="2023-01-30T00:00:00"/>
    <s v="5%"/>
    <d v="2023-02-19T00:00:00"/>
    <n v="2023"/>
    <d v="1985-06-11T00:00:00"/>
    <n v="40"/>
    <n v="6"/>
    <n v="7"/>
    <n v="5"/>
    <s v="Old Order"/>
    <n v="321"/>
    <n v="449805"/>
    <d v="2023-02-10T00:00:00"/>
    <s v="C"/>
    <n v="179900"/>
    <n v="1336756"/>
    <n v="8"/>
    <n v="12"/>
    <n v="1336756"/>
  </r>
  <r>
    <n v="1032"/>
    <s v="Finn Clark"/>
    <x v="3"/>
    <x v="1"/>
    <x v="30"/>
    <n v="80"/>
    <n v="56"/>
    <n v="2"/>
    <n v="0"/>
    <n v="24"/>
    <x v="31"/>
    <d v="2023-02-12T00:00:00"/>
    <n v="80"/>
    <n v="0.1875"/>
    <x v="1"/>
    <s v="Friday"/>
    <s v="OS001"/>
    <x v="0"/>
    <x v="0"/>
    <n v="0"/>
    <s v="Low Profit"/>
    <s v="Ok Deal"/>
    <s v="Only Region"/>
    <s v="Tape"/>
    <n v="2"/>
    <s v="Clark,  Finn"/>
    <d v="2023-01-31T00:00:00"/>
    <s v="0%"/>
    <d v="2023-02-20T00:00:00"/>
    <n v="2023"/>
    <d v="1986-02-03T00:00:00"/>
    <n v="39"/>
    <n v="6"/>
    <n v="1"/>
    <n v="6"/>
    <s v="Old Order"/>
    <n v="547"/>
    <n v="404829"/>
    <d v="2023-02-11T00:00:00"/>
    <s v="D"/>
    <n v="179980"/>
    <n v="2085696"/>
    <n v="12"/>
    <n v="9"/>
    <n v="1564272"/>
  </r>
  <r>
    <n v="1033"/>
    <s v="Gina Baker"/>
    <x v="0"/>
    <x v="2"/>
    <x v="31"/>
    <n v="2000"/>
    <n v="1400"/>
    <n v="1"/>
    <n v="0"/>
    <n v="600"/>
    <x v="32"/>
    <d v="2023-02-18T00:00:00"/>
    <n v="2000"/>
    <n v="0.125"/>
    <x v="1"/>
    <s v="Saturday"/>
    <s v="T001"/>
    <x v="0"/>
    <x v="1"/>
    <n v="0"/>
    <s v="Low Profit"/>
    <s v="Ok Deal"/>
    <s v="High Priority Region"/>
    <s v="Smart"/>
    <n v="2"/>
    <s v="Baker,  Gina"/>
    <d v="2023-02-01T00:00:00"/>
    <s v="0%"/>
    <d v="2023-02-21T00:00:00"/>
    <n v="2023"/>
    <d v="1985-02-07T00:00:00"/>
    <n v="40"/>
    <n v="6"/>
    <n v="5"/>
    <n v="7"/>
    <s v="Old Order"/>
    <n v="381"/>
    <n v="359852"/>
    <d v="2023-02-12T00:00:00"/>
    <s v="C"/>
    <n v="181980"/>
    <n v="1051688"/>
    <n v="8"/>
    <n v="8"/>
    <n v="701125.33333333337"/>
  </r>
  <r>
    <n v="1034"/>
    <s v="Harry King"/>
    <x v="1"/>
    <x v="0"/>
    <x v="32"/>
    <n v="10000"/>
    <n v="7000"/>
    <n v="1"/>
    <n v="0.15"/>
    <n v="3000"/>
    <x v="33"/>
    <d v="2023-02-14T00:00:00"/>
    <n v="8500"/>
    <n v="0.18"/>
    <x v="1"/>
    <s v="Sunday"/>
    <s v="F001"/>
    <x v="2"/>
    <x v="0"/>
    <n v="1500"/>
    <s v="High Profit"/>
    <s v="Ok Deal"/>
    <s v="High Priority Region"/>
    <s v="Bed F"/>
    <n v="2"/>
    <s v="King,  Harry"/>
    <d v="2023-02-02T00:00:00"/>
    <s v="15%"/>
    <d v="2023-02-22T00:00:00"/>
    <n v="2023"/>
    <d v="2001-07-19T00:00:00"/>
    <n v="24"/>
    <n v="7"/>
    <n v="2"/>
    <n v="1"/>
    <s v="Old Order"/>
    <n v="275"/>
    <n v="314874"/>
    <d v="2023-02-13T00:00:00"/>
    <s v="B"/>
    <n v="191980"/>
    <n v="2165434"/>
    <n v="8"/>
    <n v="10"/>
    <n v="1804528.3333333335"/>
  </r>
  <r>
    <n v="1035"/>
    <s v="Isla Hall"/>
    <x v="2"/>
    <x v="1"/>
    <x v="33"/>
    <n v="150"/>
    <n v="105"/>
    <n v="3"/>
    <n v="0"/>
    <n v="45"/>
    <x v="34"/>
    <d v="2023-02-22T00:00:00"/>
    <n v="150"/>
    <n v="0.16666666666666666"/>
    <x v="1"/>
    <s v="Monday"/>
    <s v="OS001"/>
    <x v="0"/>
    <x v="1"/>
    <n v="0"/>
    <s v="Low Profit"/>
    <s v="Ok Deal"/>
    <s v="Only Region"/>
    <s v="Print"/>
    <n v="2"/>
    <s v="Hall,  Isla"/>
    <d v="2023-02-03T00:00:00"/>
    <s v="0%"/>
    <d v="2023-02-23T00:00:00"/>
    <n v="2023"/>
    <d v="1995-08-12T00:00:00"/>
    <n v="30"/>
    <n v="7"/>
    <n v="8"/>
    <n v="2"/>
    <s v="Old Order"/>
    <n v="515"/>
    <n v="269895"/>
    <d v="2023-02-14T00:00:00"/>
    <s v="D"/>
    <n v="192130"/>
    <n v="2344803"/>
    <n v="10"/>
    <n v="8"/>
    <n v="1563202"/>
  </r>
  <r>
    <n v="1036"/>
    <s v="Jake Turner"/>
    <x v="3"/>
    <x v="2"/>
    <x v="34"/>
    <n v="8000"/>
    <n v="5600"/>
    <n v="1"/>
    <n v="0.1"/>
    <n v="2400"/>
    <x v="35"/>
    <d v="2023-02-24T00:00:00"/>
    <n v="7200"/>
    <n v="0.125"/>
    <x v="1"/>
    <s v="Tuesday"/>
    <s v="T001"/>
    <x v="2"/>
    <x v="1"/>
    <n v="800"/>
    <s v="High Profit"/>
    <s v="Ok Deal"/>
    <s v="Only Region"/>
    <s v="Proje"/>
    <n v="2"/>
    <s v="Turner,  Jake"/>
    <d v="2023-02-04T00:00:00"/>
    <s v="10%"/>
    <d v="2023-02-24T00:00:00"/>
    <n v="2023"/>
    <d v="1989-01-21T00:00:00"/>
    <n v="36"/>
    <n v="7"/>
    <n v="9"/>
    <n v="3"/>
    <s v="Old Order"/>
    <n v="283"/>
    <n v="224915"/>
    <d v="2023-02-15T00:00:00"/>
    <s v="B"/>
    <n v="200130"/>
    <n v="2297770"/>
    <n v="8"/>
    <n v="12"/>
    <n v="2297770"/>
  </r>
  <r>
    <n v="1037"/>
    <s v="Kara Adams"/>
    <x v="0"/>
    <x v="0"/>
    <x v="35"/>
    <n v="3000"/>
    <n v="2100"/>
    <n v="1"/>
    <n v="0.05"/>
    <n v="900"/>
    <x v="36"/>
    <d v="2023-02-25T00:00:00"/>
    <n v="2850"/>
    <n v="0.13333333333333333"/>
    <x v="1"/>
    <s v="Wednesday"/>
    <s v="F001"/>
    <x v="2"/>
    <x v="1"/>
    <n v="150"/>
    <s v="High Profit"/>
    <s v="Ok Deal"/>
    <s v="High Priority Region"/>
    <s v="Shelf"/>
    <n v="2"/>
    <s v="Adams,  Kara"/>
    <d v="2023-02-05T00:00:00"/>
    <s v="5%"/>
    <d v="2023-02-25T00:00:00"/>
    <n v="2023"/>
    <d v="1999-03-11T00:00:00"/>
    <n v="26"/>
    <n v="7"/>
    <n v="8"/>
    <n v="4"/>
    <s v="Old Order"/>
    <n v="310"/>
    <n v="179934"/>
    <d v="2023-02-16T00:00:00"/>
    <s v="C"/>
    <n v="203130"/>
    <n v="1435683"/>
    <n v="9"/>
    <n v="5"/>
    <n v="598201.25"/>
  </r>
  <r>
    <n v="1038"/>
    <s v="Leo Brown"/>
    <x v="1"/>
    <x v="1"/>
    <x v="36"/>
    <n v="50"/>
    <n v="35"/>
    <n v="5"/>
    <n v="0"/>
    <n v="15"/>
    <x v="37"/>
    <d v="2023-02-22T00:00:00"/>
    <n v="50"/>
    <n v="0.2"/>
    <x v="1"/>
    <s v="Thursday"/>
    <s v="OS001"/>
    <x v="0"/>
    <x v="1"/>
    <n v="0"/>
    <s v="Low Profit"/>
    <s v="Ok Deal"/>
    <s v="High Priority Region"/>
    <s v="Clip "/>
    <n v="2"/>
    <s v="Brown,  Leo"/>
    <d v="2023-02-06T00:00:00"/>
    <s v="0%"/>
    <d v="2023-02-26T00:00:00"/>
    <n v="2023"/>
    <d v="1994-03-06T00:00:00"/>
    <n v="31"/>
    <n v="7"/>
    <n v="5"/>
    <n v="5"/>
    <s v="Old Order"/>
    <n v="558"/>
    <n v="134952"/>
    <d v="2023-02-17T00:00:00"/>
    <s v="D"/>
    <n v="203180"/>
    <n v="1608333"/>
    <n v="10"/>
    <n v="5"/>
    <n v="670138.75"/>
  </r>
  <r>
    <n v="1039"/>
    <s v="Maya Scott"/>
    <x v="2"/>
    <x v="2"/>
    <x v="2"/>
    <n v="75000"/>
    <n v="52500"/>
    <n v="1"/>
    <n v="0.15"/>
    <n v="22500"/>
    <x v="38"/>
    <d v="2023-02-18T00:00:00"/>
    <n v="63750"/>
    <n v="0.10666666666666667"/>
    <x v="1"/>
    <s v="Friday"/>
    <s v="T001"/>
    <x v="1"/>
    <x v="0"/>
    <n v="11250"/>
    <s v="High Profit"/>
    <s v="Ok Deal"/>
    <s v="Only Region"/>
    <s v="Lapto"/>
    <n v="2"/>
    <s v="Scott,  Maya"/>
    <d v="2023-02-07T00:00:00"/>
    <s v="15%"/>
    <d v="2023-02-27T00:00:00"/>
    <n v="2023"/>
    <d v="1982-02-11T00:00:00"/>
    <n v="43"/>
    <n v="7"/>
    <n v="1"/>
    <n v="6"/>
    <s v="Old Order"/>
    <n v="1"/>
    <n v="89969"/>
    <d v="2023-02-18T00:00:00"/>
    <s v="A"/>
    <n v="278180"/>
    <n v="1124801"/>
    <n v="12"/>
    <n v="11"/>
    <n v="1031067.5833333334"/>
  </r>
  <r>
    <n v="1040"/>
    <s v="Nick White"/>
    <x v="3"/>
    <x v="0"/>
    <x v="0"/>
    <n v="1200"/>
    <n v="840"/>
    <n v="2"/>
    <n v="0.1"/>
    <n v="360"/>
    <x v="39"/>
    <d v="2023-02-27T00:00:00"/>
    <n v="1080"/>
    <n v="0.16666666666666666"/>
    <x v="1"/>
    <s v="Saturday"/>
    <s v="F001"/>
    <x v="0"/>
    <x v="1"/>
    <n v="120"/>
    <s v="Low Profit"/>
    <s v="Ok Deal"/>
    <s v="Only Region"/>
    <s v="Chair"/>
    <n v="2"/>
    <s v="White,  Nick"/>
    <d v="2023-02-08T00:00:00"/>
    <s v="10%"/>
    <d v="2023-02-28T00:00:00"/>
    <n v="2023"/>
    <d v="1994-11-05T00:00:00"/>
    <n v="31"/>
    <n v="7"/>
    <n v="6"/>
    <n v="7"/>
    <s v="Old Order"/>
    <n v="393"/>
    <n v="44985"/>
    <d v="2023-02-19T00:00:00"/>
    <s v="D"/>
    <n v="279380"/>
    <n v="1451890"/>
    <n v="12"/>
    <n v="5"/>
    <n v="604954.16666666663"/>
  </r>
  <r>
    <n v="1041"/>
    <s v="Olivia Hall"/>
    <x v="0"/>
    <x v="1"/>
    <x v="4"/>
    <n v="300"/>
    <n v="210"/>
    <n v="3"/>
    <n v="0.05"/>
    <n v="90"/>
    <x v="40"/>
    <d v="2023-02-20T00:00:00"/>
    <n v="285"/>
    <n v="0.16666666666666666"/>
    <x v="1"/>
    <s v="Sunday"/>
    <s v="OS001"/>
    <x v="0"/>
    <x v="0"/>
    <n v="15"/>
    <s v="Low Profit"/>
    <s v="Bulk Deal"/>
    <s v="High Priority Region"/>
    <s v="Pen S"/>
    <n v="2"/>
    <s v="Hall,  Olivia"/>
    <d v="2023-02-09T00:00:00"/>
    <s v="5%"/>
    <d v="2023-03-01T00:00:00"/>
    <n v="2023"/>
    <d v="1996-03-10T00:00:00"/>
    <n v="29"/>
    <n v="8"/>
    <n v="1"/>
    <n v="1"/>
    <s v="Old Order"/>
    <n v="489"/>
    <n v="0"/>
    <d v="2023-02-20T00:00:00"/>
    <s v="D"/>
    <n v="279680"/>
    <n v="1933723"/>
    <n v="9"/>
    <n v="10"/>
    <n v="1611435.8333333335"/>
  </r>
  <r>
    <n v="1042"/>
    <s v="Peter Turner"/>
    <x v="1"/>
    <x v="2"/>
    <x v="5"/>
    <n v="800"/>
    <n v="560"/>
    <n v="2"/>
    <n v="0"/>
    <n v="240"/>
    <x v="41"/>
    <d v="2023-03-01T00:00:00"/>
    <n v="800"/>
    <n v="0.1875"/>
    <x v="1"/>
    <s v="Monday"/>
    <s v="T001"/>
    <x v="0"/>
    <x v="1"/>
    <n v="0"/>
    <s v="Low Profit"/>
    <s v="Ok Deal"/>
    <s v="High Priority Region"/>
    <s v="Mouse"/>
    <n v="2"/>
    <s v="Turner,  Peter"/>
    <d v="2023-02-10T00:00:00"/>
    <s v="0%"/>
    <d v="2023-03-02T00:00:00"/>
    <n v="2023"/>
    <d v="1982-12-09T00:00:00"/>
    <n v="43"/>
    <n v="8"/>
    <n v="8"/>
    <n v="2"/>
    <s v="Old Order"/>
    <n v="462"/>
    <n v="0"/>
    <d v="2023-02-21T00:00:00"/>
    <s v="D"/>
    <n v="280480"/>
    <n v="1511993"/>
    <n v="11"/>
    <n v="5"/>
    <n v="629997.08333333337"/>
  </r>
  <r>
    <n v="1043"/>
    <s v="Quinn Young"/>
    <x v="2"/>
    <x v="0"/>
    <x v="6"/>
    <n v="2500"/>
    <n v="1750"/>
    <n v="1"/>
    <n v="0.1"/>
    <n v="750"/>
    <x v="42"/>
    <d v="2023-02-22T00:00:00"/>
    <n v="2250"/>
    <n v="0.16"/>
    <x v="1"/>
    <s v="Tuesday"/>
    <s v="F001"/>
    <x v="0"/>
    <x v="0"/>
    <n v="250"/>
    <s v="Low Profit"/>
    <s v="Ok Deal"/>
    <s v="Only Region"/>
    <s v="Cabin"/>
    <n v="2"/>
    <s v="Young,  Quinn"/>
    <d v="2023-02-11T00:00:00"/>
    <s v="10%"/>
    <d v="2023-03-03T00:00:00"/>
    <n v="2023"/>
    <d v="1994-01-16T00:00:00"/>
    <n v="32"/>
    <n v="8"/>
    <n v="2"/>
    <n v="3"/>
    <s v="Old Order"/>
    <n v="321"/>
    <n v="0"/>
    <d v="2023-02-22T00:00:00"/>
    <s v="C"/>
    <n v="282980"/>
    <n v="1714576"/>
    <n v="12"/>
    <n v="5"/>
    <n v="714406.66666666674"/>
  </r>
  <r>
    <n v="1044"/>
    <s v="Rachel Adams"/>
    <x v="3"/>
    <x v="1"/>
    <x v="7"/>
    <n v="200"/>
    <n v="140"/>
    <n v="4"/>
    <n v="0"/>
    <n v="60"/>
    <x v="43"/>
    <d v="2023-02-24T00:00:00"/>
    <n v="200"/>
    <n v="0.2"/>
    <x v="1"/>
    <s v="Wednesday"/>
    <s v="OS001"/>
    <x v="0"/>
    <x v="0"/>
    <n v="0"/>
    <s v="Low Profit"/>
    <s v="Ok Deal"/>
    <s v="Only Region"/>
    <s v="Noteb"/>
    <n v="2"/>
    <s v="Adams,  Rachel"/>
    <d v="2023-02-12T00:00:00"/>
    <s v="0%"/>
    <d v="2023-03-04T00:00:00"/>
    <n v="2023"/>
    <d v="1996-01-18T00:00:00"/>
    <n v="29"/>
    <n v="8"/>
    <n v="3"/>
    <n v="4"/>
    <s v="Old Order"/>
    <n v="506"/>
    <n v="0"/>
    <d v="2023-02-23T00:00:00"/>
    <s v="D"/>
    <n v="283180"/>
    <n v="1239518"/>
    <n v="11"/>
    <n v="10"/>
    <n v="1032931.6666666667"/>
  </r>
  <r>
    <n v="1045"/>
    <s v="Steve Roberts"/>
    <x v="0"/>
    <x v="2"/>
    <x v="8"/>
    <n v="12000"/>
    <n v="8400"/>
    <n v="1"/>
    <n v="0.1"/>
    <n v="3600"/>
    <x v="44"/>
    <d v="2023-02-26T00:00:00"/>
    <n v="10800"/>
    <n v="0.125"/>
    <x v="1"/>
    <s v="Thursday"/>
    <s v="T001"/>
    <x v="1"/>
    <x v="0"/>
    <n v="1200"/>
    <s v="High Profit"/>
    <s v="Ok Deal"/>
    <s v="High Priority Region"/>
    <s v="Print"/>
    <n v="2"/>
    <s v="Roberts,  Steve"/>
    <d v="2023-02-13T00:00:00"/>
    <s v="10%"/>
    <d v="2023-03-05T00:00:00"/>
    <n v="2023"/>
    <d v="2000-02-04T00:00:00"/>
    <n v="25"/>
    <n v="8"/>
    <n v="2"/>
    <n v="5"/>
    <s v="Old Order"/>
    <n v="262"/>
    <n v="0"/>
    <d v="2023-02-24T00:00:00"/>
    <s v="A"/>
    <n v="295180"/>
    <n v="2463669"/>
    <n v="8"/>
    <n v="11"/>
    <n v="2258363.25"/>
  </r>
  <r>
    <n v="1046"/>
    <s v="Tina Lewis"/>
    <x v="1"/>
    <x v="0"/>
    <x v="9"/>
    <n v="15000"/>
    <n v="10500"/>
    <n v="1"/>
    <n v="0.2"/>
    <n v="4500"/>
    <x v="45"/>
    <d v="2023-03-04T00:00:00"/>
    <n v="12000"/>
    <n v="0.16666666666666666"/>
    <x v="1"/>
    <s v="Friday"/>
    <s v="F001"/>
    <x v="1"/>
    <x v="1"/>
    <n v="3000"/>
    <s v="High Profit"/>
    <s v="Ok Deal"/>
    <s v="High Priority Region"/>
    <s v="Sofa"/>
    <n v="2"/>
    <s v="Lewis,  Tina"/>
    <d v="2023-02-14T00:00:00"/>
    <s v="20%"/>
    <d v="2023-03-06T00:00:00"/>
    <n v="2023"/>
    <d v="1984-04-11T00:00:00"/>
    <n v="41"/>
    <n v="8"/>
    <n v="6"/>
    <n v="6"/>
    <s v="Old Order"/>
    <n v="259"/>
    <n v="0"/>
    <d v="2023-02-25T00:00:00"/>
    <s v="A"/>
    <n v="310180"/>
    <n v="1131456"/>
    <n v="8"/>
    <n v="7"/>
    <n v="660016"/>
  </r>
  <r>
    <n v="1047"/>
    <s v="Uma Baker"/>
    <x v="2"/>
    <x v="1"/>
    <x v="10"/>
    <n v="100"/>
    <n v="70"/>
    <n v="10"/>
    <n v="0"/>
    <n v="30"/>
    <x v="46"/>
    <d v="2023-03-01T00:00:00"/>
    <n v="100"/>
    <n v="0.2"/>
    <x v="1"/>
    <s v="Saturday"/>
    <s v="OS001"/>
    <x v="0"/>
    <x v="0"/>
    <n v="0"/>
    <s v="Low Profit"/>
    <s v="Ok Deal"/>
    <s v="Only Region"/>
    <s v="Paper"/>
    <n v="2"/>
    <s v="Baker,  Uma"/>
    <d v="2023-02-15T00:00:00"/>
    <s v="0%"/>
    <d v="2023-03-07T00:00:00"/>
    <n v="2023"/>
    <d v="2001-07-19T00:00:00"/>
    <n v="24"/>
    <n v="8"/>
    <n v="3"/>
    <n v="7"/>
    <s v="Old Order"/>
    <n v="537"/>
    <n v="0"/>
    <d v="2023-02-26T00:00:00"/>
    <s v="D"/>
    <n v="310280"/>
    <n v="1537352"/>
    <n v="9"/>
    <n v="5"/>
    <n v="640563.33333333337"/>
  </r>
  <r>
    <n v="1048"/>
    <s v="Victor Hall"/>
    <x v="3"/>
    <x v="2"/>
    <x v="11"/>
    <n v="500"/>
    <n v="350"/>
    <n v="2"/>
    <n v="0"/>
    <n v="150"/>
    <x v="47"/>
    <d v="2023-03-01T00:00:00"/>
    <n v="500"/>
    <n v="0.16"/>
    <x v="1"/>
    <s v="Sunday"/>
    <s v="T001"/>
    <x v="0"/>
    <x v="0"/>
    <n v="0"/>
    <s v="Low Profit"/>
    <s v="Ok Deal"/>
    <s v="Only Region"/>
    <s v="Keybo"/>
    <n v="2"/>
    <s v="Hall,  Victor"/>
    <d v="2023-02-16T00:00:00"/>
    <s v="0%"/>
    <d v="2023-03-08T00:00:00"/>
    <n v="2023"/>
    <d v="1990-12-09T00:00:00"/>
    <n v="35"/>
    <n v="9"/>
    <n v="3"/>
    <n v="1"/>
    <s v="Old Order"/>
    <n v="479"/>
    <n v="0"/>
    <d v="2023-02-27T00:00:00"/>
    <s v="D"/>
    <n v="310780"/>
    <n v="1734379"/>
    <n v="12"/>
    <n v="9"/>
    <n v="1300784.25"/>
  </r>
  <r>
    <n v="1049"/>
    <s v="Wendy King"/>
    <x v="0"/>
    <x v="0"/>
    <x v="12"/>
    <n v="4000"/>
    <n v="2800"/>
    <n v="1"/>
    <n v="0.05"/>
    <n v="1200"/>
    <x v="48"/>
    <d v="2023-03-01T00:00:00"/>
    <n v="3800"/>
    <n v="0.15"/>
    <x v="1"/>
    <s v="Monday"/>
    <s v="F001"/>
    <x v="2"/>
    <x v="0"/>
    <n v="200"/>
    <s v="High Profit"/>
    <s v="Ok Deal"/>
    <s v="High Priority Region"/>
    <s v="Bookc"/>
    <n v="2"/>
    <s v="King,  Wendy"/>
    <d v="2023-02-17T00:00:00"/>
    <s v="5%"/>
    <d v="2023-03-09T00:00:00"/>
    <n v="2023"/>
    <d v="1986-04-25T00:00:00"/>
    <n v="39"/>
    <n v="9"/>
    <n v="3"/>
    <n v="2"/>
    <s v="Old Order"/>
    <n v="301"/>
    <n v="0"/>
    <d v="2023-02-27T12:00:00"/>
    <s v="B"/>
    <n v="314780"/>
    <n v="1533636"/>
    <n v="11"/>
    <n v="9"/>
    <n v="1150227"/>
  </r>
  <r>
    <n v="1050"/>
    <s v="Xavier Young"/>
    <x v="1"/>
    <x v="1"/>
    <x v="13"/>
    <n v="120"/>
    <n v="84"/>
    <n v="3"/>
    <n v="0"/>
    <n v="36"/>
    <x v="49"/>
    <d v="2023-03-04T00:00:00"/>
    <n v="120"/>
    <n v="0.20833333333333334"/>
    <x v="1"/>
    <s v="Tuesday"/>
    <s v="OS001"/>
    <x v="0"/>
    <x v="0"/>
    <n v="0"/>
    <s v="Low Profit"/>
    <s v="Ok Deal"/>
    <s v="High Priority Region"/>
    <s v="Marke"/>
    <n v="2"/>
    <s v="Young,  Xavier"/>
    <d v="2023-02-18T00:00:00"/>
    <s v="0%"/>
    <d v="2023-03-10T00:00:00"/>
    <n v="2023"/>
    <d v="1982-08-05T00:00:00"/>
    <n v="43"/>
    <n v="9"/>
    <n v="4"/>
    <n v="3"/>
    <s v="Old Order"/>
    <n v="528"/>
    <n v="0"/>
    <d v="2023-02-28T00:00:00"/>
    <s v="D"/>
    <n v="314900"/>
    <n v="2129410"/>
    <n v="11"/>
    <n v="9"/>
    <n v="159705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211B57-8794-4B54-B440-19BBDEDC792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U38:AV43" firstHeaderRow="1" firstDataRow="1" firstDataCol="1"/>
  <pivotFields count="47">
    <pivotField showAll="0"/>
    <pivotField showAll="0"/>
    <pivotField axis="axisRow" showAll="0">
      <items count="5">
        <item x="0"/>
        <item x="3"/>
        <item x="2"/>
        <item x="1"/>
        <item t="default"/>
      </items>
    </pivotField>
    <pivotField showAll="0"/>
    <pivotField showAll="0"/>
    <pivotField dataField="1" showAll="0"/>
    <pivotField showAll="0"/>
    <pivotField showAll="0"/>
    <pivotField showAll="0"/>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4"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numFmtId="14"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8"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Sales"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12B1AA-89AE-49C0-805D-8080F67A086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U45:AV49" firstHeaderRow="1" firstDataRow="1" firstDataCol="1"/>
  <pivotFields count="47">
    <pivotField showAll="0"/>
    <pivotField showAll="0"/>
    <pivotField showAll="0">
      <items count="5">
        <item x="0"/>
        <item x="3"/>
        <item x="2"/>
        <item x="1"/>
        <item t="default"/>
      </items>
    </pivotField>
    <pivotField axis="axisRow" showAll="0">
      <items count="4">
        <item x="0"/>
        <item x="1"/>
        <item x="2"/>
        <item t="default"/>
      </items>
    </pivotField>
    <pivotField showAll="0"/>
    <pivotField showAll="0"/>
    <pivotField showAll="0"/>
    <pivotField showAll="0"/>
    <pivotField showAll="0"/>
    <pivotField dataField="1"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4"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numFmtId="14"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8"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Sum of Profit"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89038F-283D-4821-A5B9-460DCEB8A26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81:H84" firstHeaderRow="1" firstDataRow="1" firstDataCol="1"/>
  <pivotFields count="47">
    <pivotField showAll="0"/>
    <pivotField showAll="0"/>
    <pivotField showAll="0">
      <items count="5">
        <item x="0"/>
        <item x="3"/>
        <item x="2"/>
        <item x="1"/>
        <item t="default"/>
      </items>
    </pivotField>
    <pivotField showAll="0">
      <items count="4">
        <item x="0"/>
        <item x="1"/>
        <item x="2"/>
        <item t="default"/>
      </items>
    </pivotField>
    <pivotField showAll="0"/>
    <pivotField showAll="0"/>
    <pivotField showAll="0"/>
    <pivotField showAll="0"/>
    <pivotField showAll="0"/>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4" showAll="0"/>
    <pivotField showAll="0"/>
    <pivotField numFmtId="9" showAll="0"/>
    <pivotField showAll="0">
      <items count="3">
        <item x="0"/>
        <item x="1"/>
        <item t="default"/>
      </items>
    </pivotField>
    <pivotField showAll="0"/>
    <pivotField showAll="0"/>
    <pivotField showAll="0">
      <items count="4">
        <item x="0"/>
        <item x="2"/>
        <item x="1"/>
        <item t="default"/>
      </items>
    </pivotField>
    <pivotField axis="axisRow" dataField="1" showAll="0">
      <items count="3">
        <item x="1"/>
        <item x="0"/>
        <item t="default"/>
      </items>
    </pivotField>
    <pivotField showAll="0"/>
    <pivotField showAll="0"/>
    <pivotField showAll="0"/>
    <pivotField showAll="0"/>
    <pivotField showAll="0"/>
    <pivotField showAll="0"/>
    <pivotField showAll="0"/>
    <pivotField numFmtId="14" showAll="0"/>
    <pivotField showAll="0"/>
    <pivotField numFmtId="14" showAll="0"/>
    <pivotField showAll="0"/>
    <pivotField numFmtId="14"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8"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8"/>
  </rowFields>
  <rowItems count="3">
    <i>
      <x/>
    </i>
    <i>
      <x v="1"/>
    </i>
    <i t="grand">
      <x/>
    </i>
  </rowItems>
  <colItems count="1">
    <i/>
  </colItems>
  <dataFields count="1">
    <dataField name="Count of Delivery Status" fld="18" subtotal="count"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8" count="1" selected="0">
            <x v="0"/>
          </reference>
        </references>
      </pivotArea>
    </chartFormat>
    <chartFormat chart="3" format="6">
      <pivotArea type="data" outline="0" fieldPosition="0">
        <references count="2">
          <reference field="4294967294" count="1" selected="0">
            <x v="0"/>
          </reference>
          <reference field="18" count="1" selected="0">
            <x v="1"/>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BF5208-7049-466B-A071-DE0F35A1416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54:H58" firstHeaderRow="1" firstDataRow="1" firstDataCol="1"/>
  <pivotFields count="47">
    <pivotField showAll="0"/>
    <pivotField showAll="0"/>
    <pivotField showAll="0"/>
    <pivotField axis="axisRow" showAll="0">
      <items count="4">
        <item x="0"/>
        <item x="1"/>
        <item x="2"/>
        <item t="default"/>
      </items>
    </pivotField>
    <pivotField showAll="0"/>
    <pivotField dataField="1" showAll="0"/>
    <pivotField showAll="0"/>
    <pivotField showAll="0"/>
    <pivotField showAll="0"/>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4"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numFmtId="14"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8"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4">
    <i>
      <x/>
    </i>
    <i>
      <x v="1"/>
    </i>
    <i>
      <x v="2"/>
    </i>
    <i t="grand">
      <x/>
    </i>
  </rowItems>
  <colItems count="1">
    <i/>
  </colItems>
  <dataFields count="1">
    <dataField name="Sum of Sales" fld="5" baseField="0" baseItem="0"/>
  </dataFields>
  <chartFormats count="8">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3" count="1" selected="0">
            <x v="0"/>
          </reference>
        </references>
      </pivotArea>
    </chartFormat>
    <chartFormat chart="5" format="7">
      <pivotArea type="data" outline="0" fieldPosition="0">
        <references count="2">
          <reference field="4294967294" count="1" selected="0">
            <x v="0"/>
          </reference>
          <reference field="3" count="1" selected="0">
            <x v="1"/>
          </reference>
        </references>
      </pivotArea>
    </chartFormat>
    <chartFormat chart="5" format="8">
      <pivotArea type="data" outline="0" fieldPosition="0">
        <references count="2">
          <reference field="4294967294" count="1" selected="0">
            <x v="0"/>
          </reference>
          <reference field="3" count="1" selected="0">
            <x v="2"/>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B37A3F-FD55-4B8E-82A6-48F55231D8A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68:H79" firstHeaderRow="1" firstDataRow="1" firstDataCol="1"/>
  <pivotFields count="47">
    <pivotField showAll="0"/>
    <pivotField showAll="0"/>
    <pivotField showAll="0">
      <items count="5">
        <item x="0"/>
        <item x="3"/>
        <item x="2"/>
        <item x="1"/>
        <item t="default"/>
      </items>
    </pivotField>
    <pivotField showAll="0">
      <items count="4">
        <item x="0"/>
        <item x="1"/>
        <item x="2"/>
        <item t="default"/>
      </items>
    </pivotField>
    <pivotField axis="axisRow" showAll="0" measureFilter="1" sortType="ascending">
      <items count="38">
        <item x="32"/>
        <item x="25"/>
        <item x="12"/>
        <item x="6"/>
        <item x="22"/>
        <item x="0"/>
        <item x="36"/>
        <item x="27"/>
        <item x="3"/>
        <item x="16"/>
        <item x="29"/>
        <item x="19"/>
        <item x="20"/>
        <item x="11"/>
        <item x="2"/>
        <item x="13"/>
        <item x="14"/>
        <item x="5"/>
        <item x="7"/>
        <item x="10"/>
        <item x="4"/>
        <item x="8"/>
        <item x="33"/>
        <item x="34"/>
        <item x="18"/>
        <item x="23"/>
        <item x="35"/>
        <item x="31"/>
        <item x="9"/>
        <item x="1"/>
        <item x="28"/>
        <item x="24"/>
        <item x="15"/>
        <item x="26"/>
        <item x="30"/>
        <item x="21"/>
        <item x="17"/>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4"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numFmtId="14"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8"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11">
    <i>
      <x v="3"/>
    </i>
    <i>
      <x v="2"/>
    </i>
    <i>
      <x v="23"/>
    </i>
    <i>
      <x v="16"/>
    </i>
    <i>
      <x/>
    </i>
    <i>
      <x v="35"/>
    </i>
    <i>
      <x v="7"/>
    </i>
    <i>
      <x v="21"/>
    </i>
    <i>
      <x v="28"/>
    </i>
    <i>
      <x v="14"/>
    </i>
    <i t="grand">
      <x/>
    </i>
  </rowItems>
  <colItems count="1">
    <i/>
  </colItems>
  <dataFields count="1">
    <dataField name="Sum of Sales"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B751CC-9D13-4055-98E5-919A5AE39DA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Y38:AZ43" firstHeaderRow="1" firstDataRow="1" firstDataCol="1"/>
  <pivotFields count="47">
    <pivotField showAll="0"/>
    <pivotField showAll="0"/>
    <pivotField axis="axisRow" showAll="0">
      <items count="5">
        <item x="0"/>
        <item x="3"/>
        <item x="2"/>
        <item x="1"/>
        <item t="default"/>
      </items>
    </pivotField>
    <pivotField showAll="0"/>
    <pivotField showAll="0"/>
    <pivotField showAll="0"/>
    <pivotField showAll="0"/>
    <pivotField showAll="0"/>
    <pivotField showAll="0"/>
    <pivotField dataField="1"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4"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numFmtId="14"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8"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Profit"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91EC53-5CEE-4C1E-B11D-B13426C4CF3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U51:AW57" firstHeaderRow="0" firstDataRow="1" firstDataCol="1"/>
  <pivotFields count="47">
    <pivotField showAll="0"/>
    <pivotField showAll="0"/>
    <pivotField showAll="0">
      <items count="5">
        <item x="0"/>
        <item x="3"/>
        <item x="2"/>
        <item x="1"/>
        <item t="default"/>
      </items>
    </pivotField>
    <pivotField showAll="0"/>
    <pivotField axis="axisRow" showAll="0" measureFilter="1">
      <items count="38">
        <item x="32"/>
        <item x="25"/>
        <item x="12"/>
        <item x="6"/>
        <item x="22"/>
        <item x="0"/>
        <item x="36"/>
        <item x="27"/>
        <item x="3"/>
        <item x="16"/>
        <item x="29"/>
        <item x="19"/>
        <item x="20"/>
        <item x="11"/>
        <item x="2"/>
        <item x="13"/>
        <item x="14"/>
        <item x="5"/>
        <item x="7"/>
        <item x="10"/>
        <item x="4"/>
        <item x="8"/>
        <item x="33"/>
        <item x="34"/>
        <item x="18"/>
        <item x="23"/>
        <item x="35"/>
        <item x="31"/>
        <item x="9"/>
        <item x="1"/>
        <item x="28"/>
        <item x="24"/>
        <item x="15"/>
        <item x="26"/>
        <item x="30"/>
        <item x="21"/>
        <item x="17"/>
        <item t="default"/>
      </items>
    </pivotField>
    <pivotField dataField="1" showAll="0"/>
    <pivotField showAll="0"/>
    <pivotField showAll="0"/>
    <pivotField showAll="0"/>
    <pivotField dataField="1"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4"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numFmtId="14"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8"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v="7"/>
    </i>
    <i>
      <x v="14"/>
    </i>
    <i>
      <x v="21"/>
    </i>
    <i>
      <x v="28"/>
    </i>
    <i>
      <x v="35"/>
    </i>
    <i t="grand">
      <x/>
    </i>
  </rowItems>
  <colFields count="1">
    <field x="-2"/>
  </colFields>
  <colItems count="2">
    <i>
      <x/>
    </i>
    <i i="1">
      <x v="1"/>
    </i>
  </colItems>
  <dataFields count="2">
    <dataField name="Sum of Sales" fld="5" baseField="0" baseItem="0"/>
    <dataField name="Sum of Profit"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E08E39-61BA-4A49-9830-4F765C542BD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54:E105" firstHeaderRow="0" firstDataRow="1" firstDataCol="1"/>
  <pivotFields count="47">
    <pivotField showAll="0"/>
    <pivotField showAll="0"/>
    <pivotField showAll="0"/>
    <pivotField showAll="0"/>
    <pivotField showAll="0"/>
    <pivotField dataField="1" showAll="0"/>
    <pivotField showAll="0"/>
    <pivotField showAll="0"/>
    <pivotField showAll="0"/>
    <pivotField dataField="1"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4"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numFmtId="14"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8"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5"/>
  </rowFields>
  <rowItems count="51">
    <i>
      <x v="1"/>
    </i>
    <i>
      <x v="3"/>
    </i>
    <i>
      <x v="5"/>
    </i>
    <i>
      <x v="7"/>
    </i>
    <i>
      <x v="9"/>
    </i>
    <i>
      <x v="11"/>
    </i>
    <i>
      <x v="13"/>
    </i>
    <i>
      <x v="15"/>
    </i>
    <i>
      <x v="17"/>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Fields count="1">
    <field x="-2"/>
  </colFields>
  <colItems count="2">
    <i>
      <x/>
    </i>
    <i i="1">
      <x v="1"/>
    </i>
  </colItems>
  <dataFields count="2">
    <dataField name="Sum of Sales" fld="5" baseField="0" baseItem="0"/>
    <dataField name="Sum of Profit" fld="9"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4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1E8410-7861-4A40-A728-C7DC914A334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60:H65" firstHeaderRow="1" firstDataRow="1" firstDataCol="1"/>
  <pivotFields count="47">
    <pivotField showAll="0"/>
    <pivotField showAll="0"/>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dataField="1" showAll="0"/>
    <pivotField showAll="0"/>
    <pivotField showAll="0"/>
    <pivotField showAll="0"/>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4"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numFmtId="14"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8"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5">
    <i>
      <x v="2"/>
    </i>
    <i>
      <x v="3"/>
    </i>
    <i>
      <x/>
    </i>
    <i>
      <x v="1"/>
    </i>
    <i t="grand">
      <x/>
    </i>
  </rowItems>
  <colItems count="1">
    <i/>
  </colItems>
  <dataFields count="1">
    <dataField name="Sum of Sales"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7CC1ED6-A40C-437D-9C73-3000105A016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Y45:AZ49" firstHeaderRow="1" firstDataRow="1" firstDataCol="1"/>
  <pivotFields count="47">
    <pivotField showAll="0"/>
    <pivotField showAll="0"/>
    <pivotField showAll="0">
      <items count="5">
        <item x="0"/>
        <item x="3"/>
        <item x="2"/>
        <item x="1"/>
        <item t="default"/>
      </items>
    </pivotField>
    <pivotField axis="axisRow" showAll="0">
      <items count="4">
        <item x="0"/>
        <item x="1"/>
        <item x="2"/>
        <item t="default"/>
      </items>
    </pivotField>
    <pivotField showAll="0"/>
    <pivotField dataField="1" showAll="0"/>
    <pivotField showAll="0"/>
    <pivotField showAll="0"/>
    <pivotField showAll="0"/>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4"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numFmtId="14"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8"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Sum of Sales"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B6F5441-1123-47BD-A0AF-3C7017AE470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Y51:AZ54" firstHeaderRow="1" firstDataRow="1" firstDataCol="1"/>
  <pivotFields count="47">
    <pivotField showAll="0"/>
    <pivotField showAll="0"/>
    <pivotField showAll="0">
      <items count="5">
        <item x="0"/>
        <item x="3"/>
        <item x="2"/>
        <item x="1"/>
        <item t="default"/>
      </items>
    </pivotField>
    <pivotField showAll="0">
      <items count="4">
        <item x="0"/>
        <item x="1"/>
        <item x="2"/>
        <item t="default"/>
      </items>
    </pivotField>
    <pivotField showAll="0"/>
    <pivotField showAll="0"/>
    <pivotField showAll="0"/>
    <pivotField showAll="0"/>
    <pivotField showAll="0"/>
    <pivotField dataField="1"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4" showAll="0"/>
    <pivotField showAll="0"/>
    <pivotField numFmtId="9"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numFmtId="14"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8"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3">
    <i>
      <x/>
    </i>
    <i>
      <x v="1"/>
    </i>
    <i t="grand">
      <x/>
    </i>
  </rowItems>
  <colItems count="1">
    <i/>
  </colItems>
  <dataFields count="1">
    <dataField name="Sum of Profit" fld="9"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4" count="1" selected="0">
            <x v="0"/>
          </reference>
        </references>
      </pivotArea>
    </chartFormat>
    <chartFormat chart="2" format="6">
      <pivotArea type="data" outline="0" fieldPosition="0">
        <references count="2">
          <reference field="4294967294" count="1" selected="0">
            <x v="0"/>
          </reference>
          <reference field="14" count="1" selected="0">
            <x v="1"/>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8865C20-A6B2-413A-B33E-2B9182BE700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U59:AV62" firstHeaderRow="1" firstDataRow="1" firstDataCol="1"/>
  <pivotFields count="47">
    <pivotField showAll="0"/>
    <pivotField showAll="0"/>
    <pivotField showAll="0">
      <items count="5">
        <item x="0"/>
        <item x="3"/>
        <item x="2"/>
        <item x="1"/>
        <item t="default"/>
      </items>
    </pivotField>
    <pivotField showAll="0"/>
    <pivotField showAll="0"/>
    <pivotField dataField="1" showAll="0"/>
    <pivotField showAll="0"/>
    <pivotField showAll="0"/>
    <pivotField showAll="0"/>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4" showAll="0"/>
    <pivotField showAll="0"/>
    <pivotField numFmtId="9"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numFmtId="14"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8"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3">
    <i>
      <x/>
    </i>
    <i>
      <x v="1"/>
    </i>
    <i t="grand">
      <x/>
    </i>
  </rowItems>
  <colItems count="1">
    <i/>
  </colItems>
  <dataFields count="1">
    <dataField name="Sum of Sales" fld="5"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4" count="1" selected="0">
            <x v="0"/>
          </reference>
        </references>
      </pivotArea>
    </chartFormat>
    <chartFormat chart="2" format="6">
      <pivotArea type="data" outline="0" fieldPosition="0">
        <references count="2">
          <reference field="4294967294" count="1" selected="0">
            <x v="0"/>
          </reference>
          <reference field="14" count="1" selected="0">
            <x v="1"/>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A8D84B7-73BE-4B43-AFD2-499BDE8F7880}" sourceName="Region">
  <pivotTables>
    <pivotTable tabId="1" name="PivotTable7"/>
  </pivotTables>
  <data>
    <tabular pivotCacheId="1626576449">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80A2378-D85A-4A33-A515-4299D4929AB3}" sourceName="Product Category">
  <pivotTables>
    <pivotTable tabId="1" name="PivotTable7"/>
  </pivotTables>
  <data>
    <tabular pivotCacheId="162657644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F6AAD62-AB69-4F18-8773-876AB5E2709B}" sourceName="Region">
  <pivotTables>
    <pivotTable tabId="1" name="PivotTable12"/>
  </pivotTables>
  <data>
    <tabular pivotCacheId="1626576449">
      <items count="4">
        <i x="0" s="1"/>
        <i x="3"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5A32BCA4-4BB0-4587-BD82-3BEB5082D097}" sourceName="Product Category">
  <pivotTables>
    <pivotTable tabId="1" name="PivotTable12"/>
  </pivotTables>
  <data>
    <tabular pivotCacheId="1626576449">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7DE8ED8B-4650-420D-A1EA-2875EBA188FF}" sourceName="Order Month">
  <pivotTables>
    <pivotTable tabId="1" name="PivotTable12"/>
  </pivotTables>
  <data>
    <tabular pivotCacheId="1626576449">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D954E7B2-70BC-47BE-A8BE-27A787C68F23}" sourceName="Customer Segment">
  <pivotTables>
    <pivotTable tabId="1" name="PivotTable12"/>
  </pivotTables>
  <data>
    <tabular pivotCacheId="162657644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0FD9263-6CDB-443F-8CFB-233BE5A1EAE2}" cache="Slicer_Region" caption="Region" rowHeight="247650"/>
  <slicer name="Product Category 1" xr10:uid="{5DD336C8-758A-43DC-9EFB-3B134C1745B7}" cache="Slicer_Product_Category" caption="Product 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B63D974-0E38-4AD6-AF67-E4505CF9C2FA}" cache="Slicer_Region" caption="Region" rowHeight="247650"/>
  <slicer name="Product Category" xr10:uid="{326987FC-E8E1-488E-A6AD-A7B62DE40F7A}" cache="Slicer_Product_Category" caption="Product Category" rowHeight="247650"/>
  <slicer name="Region 2" xr10:uid="{942E7F70-F3AF-44CB-AC50-0F682D941F1B}" cache="Slicer_Region1" caption="Region" rowHeight="247650"/>
  <slicer name="Product Category 2" xr10:uid="{0609B479-817D-4FAE-B948-3B7F93511DA9}" cache="Slicer_Product_Category1" caption="Product Category" rowHeight="247650"/>
  <slicer name="Order Month" xr10:uid="{8256B64C-52E9-4F6E-A131-DAA456FF5E75}" cache="Slicer_Order_Month" caption="Order Month" rowHeight="247650"/>
  <slicer name="Customer Segment" xr10:uid="{7787AF20-2910-42C0-92BD-B03583673D50}" cache="Slicer_Customer_Segment" caption="Customer Segment"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E68A9C0B-E8F8-4D14-AF9C-4A4D9EE3951A}" cache="Slicer_Region1" caption="Region" style="SlicerStyleDark2" rowHeight="144000"/>
  <slicer name="Product Category 3" xr10:uid="{79EB37DB-06F2-4E00-832C-E2E8EF1B6E5F}" cache="Slicer_Product_Category1" caption="Product Category" style="SlicerStyleDark2" rowHeight="180000"/>
  <slicer name="Order Month 1" xr10:uid="{3A84F035-5A53-4EDC-8250-514CE3521F06}" cache="Slicer_Order_Month" caption="Order Month" style="SlicerStyleDark2" rowHeight="288000"/>
  <slicer name="Customer Segment 1" xr10:uid="{F13199F1-4ECE-4D3F-B261-5D43B4CB0B67}" cache="Slicer_Customer_Segment" caption="Customer Segment" style="SlicerStyleDark2"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540A71-E2A5-4293-B463-279456A16A29}" name="Table1" displayName="Table1" ref="A1:AS51" totalsRowShown="0" headerRowDxfId="48" headerRowBorderDxfId="47" tableBorderDxfId="46" totalsRowBorderDxfId="45">
  <autoFilter ref="A1:AS51" xr:uid="{22540A71-E2A5-4293-B463-279456A16A29}"/>
  <tableColumns count="45">
    <tableColumn id="1" xr3:uid="{12438BD8-D351-4B68-9BA9-3BFF6820DD00}" name="Order ID" dataDxfId="44"/>
    <tableColumn id="2" xr3:uid="{24566E33-B6E6-4E65-A930-CED53ECE9C07}" name="Customer Name" dataDxfId="43"/>
    <tableColumn id="3" xr3:uid="{B282FDAB-71CA-4C23-87EB-822858F6CD67}" name="Region" dataDxfId="42"/>
    <tableColumn id="4" xr3:uid="{C8A6710E-2D15-4241-8E9C-61A9542AA970}" name="Product Category" dataDxfId="41"/>
    <tableColumn id="5" xr3:uid="{19B3C24D-8BBC-47F9-9B2B-2BCCA299ED4D}" name="Product Name" dataDxfId="40"/>
    <tableColumn id="6" xr3:uid="{2F1DB3B9-C1AF-4CB6-95D2-1830CB222ECF}" name="Sales" dataDxfId="39"/>
    <tableColumn id="41" xr3:uid="{35C73254-31FD-46C0-A3BD-DB795AB08A5A}" name="Cost" dataDxfId="38">
      <calculatedColumnFormula>Table1[[#This Row],[Sales]]*0.7</calculatedColumnFormula>
    </tableColumn>
    <tableColumn id="7" xr3:uid="{5C3B5688-FA68-4E03-AE37-324BEE22E52C}" name="Quantity" dataDxfId="37"/>
    <tableColumn id="8" xr3:uid="{19DBAF08-7297-4F96-8CD3-15DB7F389141}" name="Discount" dataDxfId="36"/>
    <tableColumn id="9" xr3:uid="{2FDBA404-107D-4239-AF19-0F35EC2DFE42}" name="Profit" dataDxfId="35">
      <calculatedColumnFormula>Table1[[#This Row],[Sales]]-Table1[[#This Row],[Cost]]</calculatedColumnFormula>
    </tableColumn>
    <tableColumn id="10" xr3:uid="{C66CE691-9A6F-489C-8864-82C4460251DF}" name="Order Date" dataDxfId="34"/>
    <tableColumn id="11" xr3:uid="{07FAAA0D-1CFA-4B3B-BDE0-28A20547610C}" name="Delivery Date" dataDxfId="33"/>
    <tableColumn id="12" xr3:uid="{BCAC50E8-BEFB-4D11-A117-639B4D6DD3A3}" name="Total Sales" dataDxfId="32"/>
    <tableColumn id="13" xr3:uid="{05798A24-0878-46B8-85D0-4399FC4A7EE3}" name="Profit Margin (%)" dataDxfId="31" dataCellStyle="Percent"/>
    <tableColumn id="14" xr3:uid="{FF1B8783-AC1F-4D9A-BE63-16945B225A90}" name="Order Month" dataDxfId="30"/>
    <tableColumn id="15" xr3:uid="{31BCB38A-EC1F-4498-910D-C1CCE57CCAFF}" name="Order Weekday" dataDxfId="29"/>
    <tableColumn id="16" xr3:uid="{E68F05CD-5D32-4AE1-BDCB-9D47431A8A19}" name="Product Code" dataDxfId="28"/>
    <tableColumn id="17" xr3:uid="{47790ECB-2B8E-4182-ACFC-87E4D7B99E10}" name="Customer Segment" dataDxfId="27"/>
    <tableColumn id="18" xr3:uid="{808DEF42-7C60-432C-9722-A2E8605E8BCF}" name="Delivery Status" dataDxfId="26"/>
    <tableColumn id="19" xr3:uid="{E48F79DD-EF58-4D64-A1E3-6D1E32F4E73D}" name="Discount Amount" dataDxfId="25"/>
    <tableColumn id="20" xr3:uid="{D03009BB-C1E7-42F4-A9B7-EBE5B6958201}" name="Profit Category" dataDxfId="24">
      <calculatedColumnFormula>IF(Table1[[#This Row],[Profit]]&gt;800,"High Profit","Low Profit")</calculatedColumnFormula>
    </tableColumn>
    <tableColumn id="21" xr3:uid="{33ED9DAC-3863-4DCF-86CC-0DF97C0123D6}" name="Deal Type" dataDxfId="23">
      <calculatedColumnFormula>IF(AND(Table1[[#This Row],[Quantity]]&gt;2,Table1[[#This Row],[Discount]]&gt;0.04),"Bulk Deal","Ok Deal")</calculatedColumnFormula>
    </tableColumn>
    <tableColumn id="22" xr3:uid="{04BE1E55-900D-4AA6-B50A-6C907D40624C}" name="Region Type" dataDxfId="22">
      <calculatedColumnFormula>IF(OR(Table1[[#This Row],[Region]]="East",Table1[[#This Row],[Region]]="West"),"High Priority Region","Only Region")</calculatedColumnFormula>
    </tableColumn>
    <tableColumn id="23" xr3:uid="{3CE6B801-B43D-4475-A7A9-600129300434}" name="Product Name 5 Characters" dataDxfId="21">
      <calculatedColumnFormula>LEFT(Table1[[#This Row],[Product Name]],5)</calculatedColumnFormula>
    </tableColumn>
    <tableColumn id="24" xr3:uid="{0E762012-D4EC-49FB-8E08-E0935F019FDD}" name="Order Month Number" dataDxfId="20">
      <calculatedColumnFormula>MONTH(Table1[[#This Row],[Order Date]])</calculatedColumnFormula>
    </tableColumn>
    <tableColumn id="25" xr3:uid="{886225D4-12EB-40DA-BC0B-F689E515A151}" name="Name" dataDxfId="19">
      <calculatedColumnFormula>RIGHT(Table1[[#This Row],[Customer Name]],LEN(Table1[[#This Row],[Customer Name]])-FIND(" ",Table1[[#This Row],[Customer Name]])) &amp; ",  " &amp; LEFT(Table1[[#This Row],[Customer Name]],FIND(" ",Table1[[#This Row],[Customer Name]])-1)</calculatedColumnFormula>
    </tableColumn>
    <tableColumn id="26" xr3:uid="{BA908BF8-B3B8-4C0E-A426-B2199973F797}" name="DateDiff" dataDxfId="18">
      <calculatedColumnFormula>Table1[[#This Row],[Order Date]]-10</calculatedColumnFormula>
    </tableColumn>
    <tableColumn id="27" xr3:uid="{5AB6DCD2-C712-41E9-88A2-EF84683BE177}" name="Text Discount" dataDxfId="17">
      <calculatedColumnFormula>TEXT(Table1[[#This Row],[Discount]],"0%")</calculatedColumnFormula>
    </tableColumn>
    <tableColumn id="28" xr3:uid="{973CC45B-2BA2-49BE-8390-B904BDF7EF62}" name="Delivery Date2" dataDxfId="16">
      <calculatedColumnFormula>K2+10</calculatedColumnFormula>
    </tableColumn>
    <tableColumn id="29" xr3:uid="{3DA926EA-69B6-43D2-81E1-20A9FBD4B905}" name="Year" dataDxfId="15">
      <calculatedColumnFormula>YEAR(Table1[[#This Row],[Order Date]])</calculatedColumnFormula>
    </tableColumn>
    <tableColumn id="30" xr3:uid="{5DD1878A-1461-4F0D-9970-9B806F638F0A}" name="Birthdate" dataDxfId="14"/>
    <tableColumn id="31" xr3:uid="{B0DD6D48-5005-46E6-9D14-6BEFAA826867}" name="Age" dataDxfId="13">
      <calculatedColumnFormula>DATEDIF(Table1[[#This Row],[Birthdate]],TODAY(),"Y")</calculatedColumnFormula>
    </tableColumn>
    <tableColumn id="33" xr3:uid="{AD629BAF-9C3C-4CAE-8604-916302042D9B}" name="Week Number" dataDxfId="12">
      <calculatedColumnFormula>WEEKNUM(Table1[[#This Row],[Order Date]])</calculatedColumnFormula>
    </tableColumn>
    <tableColumn id="34" xr3:uid="{EDF32812-215A-41D3-9671-7AD0F6D37012}" name="Net Workdays" dataDxfId="11">
      <calculatedColumnFormula>NETWORKDAYS(Table1[[#This Row],[Order Date]],Table1[[#This Row],[Delivery Date]])</calculatedColumnFormula>
    </tableColumn>
    <tableColumn id="35" xr3:uid="{9EC85D17-8473-4C34-B196-8AB0741FB9CB}" name="Week Day" dataDxfId="10">
      <calculatedColumnFormula>WEEKDAY(Table1[[#This Row],[Order Date]])</calculatedColumnFormula>
    </tableColumn>
    <tableColumn id="37" xr3:uid="{18EEAE87-8446-4E23-A39F-DA6DCEF6C7C2}" name="OrderDate" dataDxfId="9">
      <calculatedColumnFormula>IF(Table1[[#This Row],[Order Date]]&lt;TODAY(),"Old Order","New Order")</calculatedColumnFormula>
    </tableColumn>
    <tableColumn id="38" xr3:uid="{3979F832-ACC0-47AB-8B9F-3F5F823A981C}" name="Rank" dataDxfId="8">
      <calculatedColumnFormula>RANK(Table1[[#This Row],[Sales]],Table1[[#All],[Order ID]:[OrderDate]])</calculatedColumnFormula>
    </tableColumn>
    <tableColumn id="39" xr3:uid="{920BD746-1C55-4FB7-9B94-9C95B20DF477}" name="Offset Sale" dataDxfId="7">
      <calculatedColumnFormula>SUM(OFFSET(K2,10,0,COUNTA(Table1[[#All],[Sales]])-1))</calculatedColumnFormula>
    </tableColumn>
    <tableColumn id="40" xr3:uid="{CCA44E51-FDCD-4173-B731-F2ED0254D04C}" name="Avg Days" dataDxfId="6">
      <calculatedColumnFormula>AVERAGE(K2:K4)</calculatedColumnFormula>
    </tableColumn>
    <tableColumn id="32" xr3:uid="{8DD9DAFA-A49F-4A7D-A4DE-B7ED7867AEDE}" name="Profit Grade" dataDxfId="5">
      <calculatedColumnFormula array="1">_xlfn.IFS(Table1[[#This Row],[Profit]]&gt;3000,"A",Table1[[#This Row],[Profit]]&gt;1000,"B",Table1[[#This Row],[Profit]]&gt;500,"C",TRUE,"D")</calculatedColumnFormula>
    </tableColumn>
    <tableColumn id="36" xr3:uid="{C86BD405-14C0-4542-882A-D2F364CC3348}" name="Running Total" dataDxfId="4">
      <calculatedColumnFormula>SUM($F$2:F2)</calculatedColumnFormula>
    </tableColumn>
    <tableColumn id="42" xr3:uid="{ECE20C37-EABD-4E39-816A-4D73FC6FAD56}" name="Loan Amount" dataDxfId="3"/>
    <tableColumn id="43" xr3:uid="{731954CD-9776-45FE-BE42-69F405D42E7F}" name="Interest Rate" dataDxfId="2"/>
    <tableColumn id="44" xr3:uid="{BAD6ED1A-2C26-4399-941F-F0A6C6540512}" name="Tenure (Months)" dataDxfId="1"/>
    <tableColumn id="45" xr3:uid="{E019331A-BE8F-489E-9541-4A2992D6FB8B}" name="EMI" dataDxfId="0">
      <calculatedColumnFormula>PMT(Table1[[#This Row],[Loan Amount]]/12,Table1[[#This Row],[Interest Rate]],-Table1[[#This Row],[Tenure (Months)]])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2AD44-00C4-4965-8965-85E6FC3A757C}">
  <dimension ref="A1:P24"/>
  <sheetViews>
    <sheetView topLeftCell="K7" workbookViewId="0">
      <selection activeCell="M30" sqref="M30"/>
    </sheetView>
  </sheetViews>
  <sheetFormatPr defaultRowHeight="14.4"/>
  <cols>
    <col min="15" max="15" width="11.77734375" customWidth="1"/>
  </cols>
  <sheetData>
    <row r="1" spans="1:16" ht="31.2">
      <c r="A1" s="5" t="s">
        <v>128</v>
      </c>
      <c r="P1" s="5" t="s">
        <v>192</v>
      </c>
    </row>
    <row r="3" spans="1:16" ht="31.2">
      <c r="A3" s="6" t="s">
        <v>129</v>
      </c>
      <c r="P3" s="5" t="s">
        <v>193</v>
      </c>
    </row>
    <row r="4" spans="1:16">
      <c r="A4" s="7"/>
      <c r="P4" s="7"/>
    </row>
    <row r="5" spans="1:16">
      <c r="A5" s="7" t="s">
        <v>130</v>
      </c>
      <c r="P5" s="7" t="s">
        <v>351</v>
      </c>
    </row>
    <row r="6" spans="1:16">
      <c r="A6" s="7" t="s">
        <v>266</v>
      </c>
      <c r="P6" s="7" t="s">
        <v>352</v>
      </c>
    </row>
    <row r="7" spans="1:16">
      <c r="A7" s="8" t="s">
        <v>131</v>
      </c>
      <c r="P7" s="7" t="s">
        <v>353</v>
      </c>
    </row>
    <row r="8" spans="1:16">
      <c r="A8" s="7" t="s">
        <v>267</v>
      </c>
      <c r="P8" s="7" t="s">
        <v>354</v>
      </c>
    </row>
    <row r="9" spans="1:16">
      <c r="A9" s="7" t="s">
        <v>132</v>
      </c>
      <c r="P9" s="7" t="s">
        <v>355</v>
      </c>
    </row>
    <row r="10" spans="1:16">
      <c r="A10" s="7" t="s">
        <v>268</v>
      </c>
      <c r="P10" s="7" t="s">
        <v>356</v>
      </c>
    </row>
    <row r="11" spans="1:16">
      <c r="A11" s="8" t="s">
        <v>133</v>
      </c>
      <c r="P11" s="7" t="s">
        <v>194</v>
      </c>
    </row>
    <row r="12" spans="1:16">
      <c r="A12" s="7" t="s">
        <v>269</v>
      </c>
      <c r="P12" s="7" t="s">
        <v>364</v>
      </c>
    </row>
    <row r="13" spans="1:16">
      <c r="A13" s="8" t="s">
        <v>134</v>
      </c>
      <c r="P13" s="7" t="s">
        <v>195</v>
      </c>
    </row>
    <row r="14" spans="1:16">
      <c r="A14" s="7" t="s">
        <v>270</v>
      </c>
      <c r="P14" s="7" t="s">
        <v>365</v>
      </c>
    </row>
    <row r="15" spans="1:16">
      <c r="A15" s="8" t="s">
        <v>135</v>
      </c>
      <c r="P15" s="7" t="s">
        <v>196</v>
      </c>
    </row>
    <row r="16" spans="1:16">
      <c r="A16" s="7" t="s">
        <v>271</v>
      </c>
      <c r="P16" s="7" t="s">
        <v>366</v>
      </c>
    </row>
    <row r="17" spans="1:16">
      <c r="A17" s="8" t="s">
        <v>136</v>
      </c>
      <c r="P17" s="7" t="s">
        <v>197</v>
      </c>
    </row>
    <row r="18" spans="1:16">
      <c r="A18" s="7" t="s">
        <v>272</v>
      </c>
      <c r="P18" s="7" t="s">
        <v>367</v>
      </c>
    </row>
    <row r="19" spans="1:16">
      <c r="A19" s="8" t="s">
        <v>137</v>
      </c>
      <c r="P19" s="7" t="s">
        <v>198</v>
      </c>
    </row>
    <row r="20" spans="1:16">
      <c r="A20" s="7" t="s">
        <v>273</v>
      </c>
      <c r="P20" s="7" t="s">
        <v>368</v>
      </c>
    </row>
    <row r="21" spans="1:16">
      <c r="A21" s="7" t="s">
        <v>138</v>
      </c>
      <c r="P21" s="7" t="s">
        <v>199</v>
      </c>
    </row>
    <row r="22" spans="1:16">
      <c r="A22" s="7" t="s">
        <v>274</v>
      </c>
      <c r="P22" s="7" t="s">
        <v>369</v>
      </c>
    </row>
    <row r="23" spans="1:16">
      <c r="A23" s="8" t="s">
        <v>139</v>
      </c>
      <c r="P23" s="7" t="s">
        <v>200</v>
      </c>
    </row>
    <row r="24" spans="1:16">
      <c r="A24" s="7" t="s">
        <v>275</v>
      </c>
      <c r="P24" t="s">
        <v>370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34C22-76C8-45BA-A9AC-B76B825CAC1F}">
  <dimension ref="A1:P38"/>
  <sheetViews>
    <sheetView topLeftCell="M3" workbookViewId="0">
      <selection activeCell="S24" sqref="S24"/>
    </sheetView>
  </sheetViews>
  <sheetFormatPr defaultRowHeight="14.4"/>
  <cols>
    <col min="3" max="3" width="35.33203125" customWidth="1"/>
  </cols>
  <sheetData>
    <row r="1" spans="1:16" ht="31.2">
      <c r="A1" s="5" t="s">
        <v>128</v>
      </c>
      <c r="P1" s="5" t="s">
        <v>192</v>
      </c>
    </row>
    <row r="3" spans="1:16" ht="31.2">
      <c r="A3" s="6" t="s">
        <v>140</v>
      </c>
      <c r="P3" s="5" t="s">
        <v>201</v>
      </c>
    </row>
    <row r="4" spans="1:16">
      <c r="A4" s="7"/>
      <c r="P4" s="7"/>
    </row>
    <row r="5" spans="1:16">
      <c r="A5" s="8" t="s">
        <v>141</v>
      </c>
      <c r="P5" s="7" t="s">
        <v>202</v>
      </c>
    </row>
    <row r="6" spans="1:16">
      <c r="A6" s="7" t="s">
        <v>276</v>
      </c>
      <c r="P6" s="7" t="s">
        <v>382</v>
      </c>
    </row>
    <row r="7" spans="1:16">
      <c r="A7" s="8" t="s">
        <v>142</v>
      </c>
      <c r="P7" s="7" t="s">
        <v>203</v>
      </c>
    </row>
    <row r="8" spans="1:16">
      <c r="A8" s="7"/>
      <c r="C8" s="9" t="s">
        <v>143</v>
      </c>
      <c r="P8" s="7" t="s">
        <v>384</v>
      </c>
    </row>
    <row r="9" spans="1:16">
      <c r="A9" s="7" t="s">
        <v>278</v>
      </c>
      <c r="P9" s="7" t="s">
        <v>204</v>
      </c>
    </row>
    <row r="10" spans="1:16">
      <c r="A10" s="8" t="s">
        <v>144</v>
      </c>
      <c r="P10" s="7" t="s">
        <v>386</v>
      </c>
    </row>
    <row r="11" spans="1:16">
      <c r="A11" s="7" t="s">
        <v>277</v>
      </c>
      <c r="P11" s="7" t="s">
        <v>205</v>
      </c>
    </row>
    <row r="12" spans="1:16">
      <c r="A12" s="8" t="s">
        <v>145</v>
      </c>
      <c r="P12" s="7" t="s">
        <v>388</v>
      </c>
    </row>
    <row r="13" spans="1:16">
      <c r="A13" s="7" t="s">
        <v>279</v>
      </c>
      <c r="P13" s="7" t="s">
        <v>206</v>
      </c>
    </row>
    <row r="14" spans="1:16">
      <c r="A14" s="8" t="s">
        <v>146</v>
      </c>
      <c r="P14" s="7" t="s">
        <v>390</v>
      </c>
    </row>
    <row r="15" spans="1:16">
      <c r="A15" s="7" t="s">
        <v>280</v>
      </c>
      <c r="P15" s="7" t="s">
        <v>207</v>
      </c>
    </row>
    <row r="16" spans="1:16">
      <c r="A16" s="8" t="s">
        <v>147</v>
      </c>
      <c r="P16" t="s">
        <v>399</v>
      </c>
    </row>
    <row r="17" spans="1:16">
      <c r="A17" s="7" t="s">
        <v>281</v>
      </c>
      <c r="P17" s="7" t="s">
        <v>208</v>
      </c>
    </row>
    <row r="18" spans="1:16">
      <c r="A18" s="8" t="s">
        <v>148</v>
      </c>
      <c r="P18" t="s">
        <v>400</v>
      </c>
    </row>
    <row r="19" spans="1:16">
      <c r="A19" s="7" t="s">
        <v>282</v>
      </c>
      <c r="P19" s="7" t="s">
        <v>209</v>
      </c>
    </row>
    <row r="20" spans="1:16">
      <c r="A20" s="8" t="s">
        <v>149</v>
      </c>
      <c r="P20" t="s">
        <v>401</v>
      </c>
    </row>
    <row r="21" spans="1:16">
      <c r="A21" s="7" t="s">
        <v>283</v>
      </c>
      <c r="P21" s="7" t="s">
        <v>210</v>
      </c>
    </row>
    <row r="22" spans="1:16">
      <c r="A22" s="8" t="s">
        <v>150</v>
      </c>
      <c r="P22" t="s">
        <v>402</v>
      </c>
    </row>
    <row r="23" spans="1:16">
      <c r="A23" s="7" t="s">
        <v>284</v>
      </c>
      <c r="P23" s="7" t="s">
        <v>211</v>
      </c>
    </row>
    <row r="24" spans="1:16">
      <c r="A24" s="8" t="s">
        <v>151</v>
      </c>
      <c r="P24" t="s">
        <v>403</v>
      </c>
    </row>
    <row r="25" spans="1:16">
      <c r="A25" s="7" t="s">
        <v>285</v>
      </c>
    </row>
    <row r="26" spans="1:16">
      <c r="A26" s="8" t="s">
        <v>152</v>
      </c>
    </row>
    <row r="27" spans="1:16">
      <c r="A27" s="7" t="s">
        <v>286</v>
      </c>
    </row>
    <row r="28" spans="1:16">
      <c r="A28" s="8" t="s">
        <v>153</v>
      </c>
    </row>
    <row r="29" spans="1:16">
      <c r="A29" s="7" t="s">
        <v>287</v>
      </c>
    </row>
    <row r="30" spans="1:16">
      <c r="A30" s="8" t="s">
        <v>154</v>
      </c>
    </row>
    <row r="31" spans="1:16">
      <c r="A31" t="s">
        <v>288</v>
      </c>
    </row>
    <row r="32" spans="1:16">
      <c r="A32" s="8" t="s">
        <v>155</v>
      </c>
    </row>
    <row r="33" spans="1:1">
      <c r="A33" s="7" t="s">
        <v>289</v>
      </c>
    </row>
    <row r="34" spans="1:1">
      <c r="A34" s="8" t="s">
        <v>156</v>
      </c>
    </row>
    <row r="35" spans="1:1">
      <c r="A35" s="7" t="s">
        <v>290</v>
      </c>
    </row>
    <row r="36" spans="1:1">
      <c r="A36" t="s">
        <v>291</v>
      </c>
    </row>
    <row r="37" spans="1:1">
      <c r="A37" t="s">
        <v>293</v>
      </c>
    </row>
    <row r="38" spans="1:1">
      <c r="A38" t="s">
        <v>292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1EA9D-DF6E-4A88-8474-BB6E5F7EB627}">
  <dimension ref="A1:P24"/>
  <sheetViews>
    <sheetView topLeftCell="O3" workbookViewId="0">
      <selection activeCell="S28" sqref="S28"/>
    </sheetView>
  </sheetViews>
  <sheetFormatPr defaultRowHeight="14.4"/>
  <cols>
    <col min="15" max="15" width="25" customWidth="1"/>
    <col min="16" max="16" width="17.5546875" customWidth="1"/>
  </cols>
  <sheetData>
    <row r="1" spans="1:16" ht="31.2">
      <c r="A1" s="5" t="s">
        <v>128</v>
      </c>
      <c r="P1" s="5" t="s">
        <v>192</v>
      </c>
    </row>
    <row r="3" spans="1:16" ht="31.2">
      <c r="A3" s="6" t="s">
        <v>157</v>
      </c>
      <c r="P3" s="5" t="s">
        <v>212</v>
      </c>
    </row>
    <row r="4" spans="1:16">
      <c r="A4" s="7"/>
      <c r="P4" s="7"/>
    </row>
    <row r="5" spans="1:16">
      <c r="A5" s="8" t="s">
        <v>158</v>
      </c>
      <c r="P5" s="7" t="s">
        <v>213</v>
      </c>
    </row>
    <row r="6" spans="1:16">
      <c r="A6" s="7" t="s">
        <v>294</v>
      </c>
      <c r="P6" s="7" t="s">
        <v>409</v>
      </c>
    </row>
    <row r="7" spans="1:16">
      <c r="A7" s="7" t="s">
        <v>159</v>
      </c>
      <c r="P7" s="7" t="s">
        <v>214</v>
      </c>
    </row>
    <row r="8" spans="1:16">
      <c r="A8" s="7" t="s">
        <v>295</v>
      </c>
      <c r="P8" s="7" t="s">
        <v>411</v>
      </c>
    </row>
    <row r="9" spans="1:16">
      <c r="A9" s="7" t="s">
        <v>160</v>
      </c>
      <c r="P9" s="7" t="s">
        <v>215</v>
      </c>
    </row>
    <row r="10" spans="1:16">
      <c r="A10" s="7" t="s">
        <v>296</v>
      </c>
      <c r="P10" s="7" t="s">
        <v>412</v>
      </c>
    </row>
    <row r="11" spans="1:16">
      <c r="A11" s="8" t="s">
        <v>161</v>
      </c>
      <c r="P11" s="7" t="s">
        <v>216</v>
      </c>
    </row>
    <row r="12" spans="1:16">
      <c r="A12" s="7" t="s">
        <v>297</v>
      </c>
      <c r="P12" s="7" t="s">
        <v>414</v>
      </c>
    </row>
    <row r="13" spans="1:16">
      <c r="A13" s="8" t="s">
        <v>162</v>
      </c>
      <c r="P13" s="7" t="s">
        <v>217</v>
      </c>
    </row>
    <row r="14" spans="1:16">
      <c r="A14" s="7" t="s">
        <v>298</v>
      </c>
      <c r="P14" s="7" t="s">
        <v>415</v>
      </c>
    </row>
    <row r="15" spans="1:16">
      <c r="A15" s="8" t="s">
        <v>163</v>
      </c>
      <c r="P15" s="7" t="s">
        <v>218</v>
      </c>
    </row>
    <row r="16" spans="1:16">
      <c r="A16" s="7" t="s">
        <v>299</v>
      </c>
      <c r="P16" s="7" t="s">
        <v>417</v>
      </c>
    </row>
    <row r="17" spans="1:16">
      <c r="A17" s="7" t="s">
        <v>164</v>
      </c>
      <c r="P17" s="7" t="s">
        <v>219</v>
      </c>
    </row>
    <row r="18" spans="1:16">
      <c r="A18" s="7" t="s">
        <v>300</v>
      </c>
      <c r="P18" s="7" t="s">
        <v>419</v>
      </c>
    </row>
    <row r="19" spans="1:16">
      <c r="A19" s="7" t="s">
        <v>165</v>
      </c>
      <c r="P19" s="7" t="s">
        <v>220</v>
      </c>
    </row>
    <row r="20" spans="1:16">
      <c r="A20" t="s">
        <v>301</v>
      </c>
      <c r="P20" s="7" t="s">
        <v>420</v>
      </c>
    </row>
    <row r="21" spans="1:16">
      <c r="A21">
        <v>-1</v>
      </c>
      <c r="B21" t="s">
        <v>302</v>
      </c>
      <c r="P21" s="7" t="s">
        <v>221</v>
      </c>
    </row>
    <row r="22" spans="1:16">
      <c r="A22" s="7" t="s">
        <v>303</v>
      </c>
      <c r="P22" s="7" t="s">
        <v>421</v>
      </c>
    </row>
    <row r="23" spans="1:16">
      <c r="P23" s="7" t="s">
        <v>222</v>
      </c>
    </row>
    <row r="24" spans="1:16">
      <c r="P24" s="7" t="s">
        <v>422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C3F84-554A-4E7A-B4DC-EB6239B3EE9B}">
  <dimension ref="A1:P21"/>
  <sheetViews>
    <sheetView topLeftCell="M1" workbookViewId="0">
      <selection activeCell="T23" sqref="T23"/>
    </sheetView>
  </sheetViews>
  <sheetFormatPr defaultRowHeight="14.4"/>
  <cols>
    <col min="8" max="9" width="10.33203125" bestFit="1" customWidth="1"/>
  </cols>
  <sheetData>
    <row r="1" spans="1:16" ht="31.2">
      <c r="A1" s="5" t="s">
        <v>128</v>
      </c>
      <c r="P1" s="5" t="s">
        <v>192</v>
      </c>
    </row>
    <row r="3" spans="1:16" ht="31.2">
      <c r="A3" s="6" t="s">
        <v>166</v>
      </c>
      <c r="P3" s="5" t="s">
        <v>223</v>
      </c>
    </row>
    <row r="4" spans="1:16">
      <c r="A4" s="7"/>
      <c r="H4" s="10"/>
      <c r="I4" s="10"/>
      <c r="P4" s="7"/>
    </row>
    <row r="5" spans="1:16">
      <c r="A5" s="8" t="s">
        <v>167</v>
      </c>
      <c r="P5" s="7" t="s">
        <v>224</v>
      </c>
    </row>
    <row r="6" spans="1:16">
      <c r="A6" s="7" t="s">
        <v>304</v>
      </c>
      <c r="I6" s="10"/>
      <c r="P6" s="7" t="s">
        <v>437</v>
      </c>
    </row>
    <row r="7" spans="1:16">
      <c r="A7" s="8" t="s">
        <v>168</v>
      </c>
      <c r="I7" s="10"/>
      <c r="P7" s="7" t="s">
        <v>225</v>
      </c>
    </row>
    <row r="8" spans="1:16">
      <c r="A8" s="7" t="s">
        <v>305</v>
      </c>
      <c r="P8" s="7" t="s">
        <v>438</v>
      </c>
    </row>
    <row r="9" spans="1:16">
      <c r="A9" s="8" t="s">
        <v>169</v>
      </c>
      <c r="P9" s="7" t="s">
        <v>226</v>
      </c>
    </row>
    <row r="10" spans="1:16">
      <c r="A10" s="7" t="s">
        <v>306</v>
      </c>
      <c r="P10" s="10" t="s">
        <v>439</v>
      </c>
    </row>
    <row r="11" spans="1:16">
      <c r="A11" s="8" t="s">
        <v>170</v>
      </c>
      <c r="P11" s="7" t="s">
        <v>227</v>
      </c>
    </row>
    <row r="12" spans="1:16">
      <c r="A12" t="s">
        <v>307</v>
      </c>
      <c r="P12" s="7" t="s">
        <v>440</v>
      </c>
    </row>
    <row r="13" spans="1:16">
      <c r="A13" s="8" t="s">
        <v>171</v>
      </c>
      <c r="P13" s="7" t="s">
        <v>228</v>
      </c>
    </row>
    <row r="14" spans="1:16">
      <c r="A14" t="s">
        <v>308</v>
      </c>
      <c r="P14" s="7" t="s">
        <v>441</v>
      </c>
    </row>
    <row r="15" spans="1:16">
      <c r="P15" s="7" t="s">
        <v>229</v>
      </c>
    </row>
    <row r="16" spans="1:16">
      <c r="P16" t="s">
        <v>443</v>
      </c>
    </row>
    <row r="17" spans="16:16">
      <c r="P17" t="s">
        <v>442</v>
      </c>
    </row>
    <row r="18" spans="16:16">
      <c r="P18" s="7" t="s">
        <v>230</v>
      </c>
    </row>
    <row r="19" spans="16:16">
      <c r="P19" t="s">
        <v>444</v>
      </c>
    </row>
    <row r="20" spans="16:16">
      <c r="P20" s="7" t="s">
        <v>231</v>
      </c>
    </row>
    <row r="21" spans="16:16">
      <c r="P21" t="s">
        <v>445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17CA7-2193-4748-B6C6-3DD3C35708C9}">
  <dimension ref="A1:S28"/>
  <sheetViews>
    <sheetView topLeftCell="O1" workbookViewId="0">
      <selection activeCell="P24" sqref="P24"/>
    </sheetView>
  </sheetViews>
  <sheetFormatPr defaultRowHeight="14.4"/>
  <cols>
    <col min="15" max="15" width="74.33203125" customWidth="1"/>
  </cols>
  <sheetData>
    <row r="1" spans="1:16" ht="31.2">
      <c r="A1" s="5" t="s">
        <v>128</v>
      </c>
      <c r="P1" s="5" t="s">
        <v>192</v>
      </c>
    </row>
    <row r="3" spans="1:16" ht="31.2">
      <c r="A3" s="6" t="s">
        <v>172</v>
      </c>
      <c r="P3" s="5" t="s">
        <v>232</v>
      </c>
    </row>
    <row r="4" spans="1:16">
      <c r="A4" s="7"/>
      <c r="P4" s="7"/>
    </row>
    <row r="5" spans="1:16">
      <c r="A5" s="8" t="s">
        <v>173</v>
      </c>
      <c r="P5" s="7" t="s">
        <v>233</v>
      </c>
    </row>
    <row r="6" spans="1:16">
      <c r="A6" s="7" t="s">
        <v>309</v>
      </c>
      <c r="P6" s="7" t="s">
        <v>460</v>
      </c>
    </row>
    <row r="7" spans="1:16">
      <c r="A7" s="7" t="s">
        <v>174</v>
      </c>
      <c r="P7" s="7" t="s">
        <v>234</v>
      </c>
    </row>
    <row r="8" spans="1:16">
      <c r="A8" s="7" t="s">
        <v>310</v>
      </c>
      <c r="P8" t="s">
        <v>465</v>
      </c>
    </row>
    <row r="9" spans="1:16">
      <c r="A9" s="8" t="s">
        <v>175</v>
      </c>
      <c r="P9" s="7" t="s">
        <v>235</v>
      </c>
    </row>
    <row r="10" spans="1:16">
      <c r="A10" t="s">
        <v>311</v>
      </c>
      <c r="P10" t="s">
        <v>466</v>
      </c>
    </row>
    <row r="11" spans="1:16">
      <c r="A11" s="8" t="s">
        <v>176</v>
      </c>
      <c r="P11" s="7" t="s">
        <v>236</v>
      </c>
    </row>
    <row r="12" spans="1:16">
      <c r="A12" s="7" t="s">
        <v>312</v>
      </c>
      <c r="P12" t="s">
        <v>458</v>
      </c>
    </row>
    <row r="13" spans="1:16">
      <c r="A13" s="8" t="s">
        <v>177</v>
      </c>
      <c r="P13" s="7" t="s">
        <v>237</v>
      </c>
    </row>
    <row r="14" spans="1:16">
      <c r="A14" s="7" t="s">
        <v>313</v>
      </c>
      <c r="P14" s="10" t="s">
        <v>469</v>
      </c>
    </row>
    <row r="15" spans="1:16">
      <c r="A15" s="8" t="s">
        <v>178</v>
      </c>
      <c r="P15" s="7" t="s">
        <v>238</v>
      </c>
    </row>
    <row r="16" spans="1:16">
      <c r="A16" t="s">
        <v>314</v>
      </c>
      <c r="P16" s="7" t="s">
        <v>239</v>
      </c>
    </row>
    <row r="17" spans="1:19">
      <c r="A17" s="8" t="s">
        <v>179</v>
      </c>
      <c r="P17" s="7" t="s">
        <v>240</v>
      </c>
    </row>
    <row r="18" spans="1:19">
      <c r="A18" t="s">
        <v>315</v>
      </c>
      <c r="P18" s="7" t="s">
        <v>241</v>
      </c>
    </row>
    <row r="19" spans="1:19">
      <c r="P19" s="7" t="s">
        <v>242</v>
      </c>
      <c r="Q19" t="s">
        <v>470</v>
      </c>
    </row>
    <row r="21" spans="1:19">
      <c r="P21" s="7" t="s">
        <v>243</v>
      </c>
      <c r="S21" s="7" t="s">
        <v>244</v>
      </c>
    </row>
    <row r="22" spans="1:19">
      <c r="P22" s="7" t="s">
        <v>456</v>
      </c>
    </row>
    <row r="23" spans="1:19">
      <c r="P23" s="7" t="s">
        <v>245</v>
      </c>
    </row>
    <row r="24" spans="1:19">
      <c r="P24" t="s">
        <v>457</v>
      </c>
    </row>
    <row r="26" spans="1:19">
      <c r="P26" s="7"/>
    </row>
    <row r="28" spans="1:19">
      <c r="P28"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9EC87-599A-46F2-870F-DE13EE276FFE}">
  <dimension ref="A1:T31"/>
  <sheetViews>
    <sheetView topLeftCell="G3" workbookViewId="0">
      <selection activeCell="R22" sqref="R22"/>
    </sheetView>
  </sheetViews>
  <sheetFormatPr defaultRowHeight="14.4"/>
  <cols>
    <col min="1" max="1" width="16.21875" customWidth="1"/>
    <col min="17" max="17" width="12.77734375" customWidth="1"/>
  </cols>
  <sheetData>
    <row r="1" spans="1:20" ht="31.2">
      <c r="A1" s="5" t="s">
        <v>128</v>
      </c>
      <c r="P1" s="5" t="s">
        <v>192</v>
      </c>
    </row>
    <row r="3" spans="1:20" ht="31.2">
      <c r="A3" s="6" t="s">
        <v>180</v>
      </c>
      <c r="P3" s="5" t="s">
        <v>246</v>
      </c>
    </row>
    <row r="4" spans="1:20">
      <c r="A4" s="7"/>
      <c r="P4" s="7"/>
    </row>
    <row r="5" spans="1:20">
      <c r="A5" s="8" t="s">
        <v>181</v>
      </c>
      <c r="P5" s="7" t="s">
        <v>247</v>
      </c>
      <c r="R5" s="7" t="s">
        <v>248</v>
      </c>
    </row>
    <row r="6" spans="1:20">
      <c r="A6" s="7" t="s">
        <v>316</v>
      </c>
      <c r="P6" s="7"/>
      <c r="R6" t="s">
        <v>477</v>
      </c>
    </row>
    <row r="7" spans="1:20">
      <c r="B7" t="s">
        <v>317</v>
      </c>
      <c r="T7" t="s">
        <v>478</v>
      </c>
    </row>
    <row r="8" spans="1:20">
      <c r="A8" t="s">
        <v>318</v>
      </c>
      <c r="B8" t="s">
        <v>319</v>
      </c>
      <c r="P8" s="7"/>
      <c r="T8" t="s">
        <v>479</v>
      </c>
    </row>
    <row r="9" spans="1:20">
      <c r="A9" t="s">
        <v>320</v>
      </c>
      <c r="T9" t="s">
        <v>480</v>
      </c>
    </row>
    <row r="10" spans="1:20">
      <c r="B10" t="s">
        <v>321</v>
      </c>
      <c r="T10" t="s">
        <v>481</v>
      </c>
    </row>
    <row r="12" spans="1:20">
      <c r="A12" s="8" t="s">
        <v>182</v>
      </c>
    </row>
    <row r="13" spans="1:20">
      <c r="A13" t="s">
        <v>322</v>
      </c>
      <c r="P13" s="7" t="s">
        <v>249</v>
      </c>
      <c r="R13" s="7" t="s">
        <v>250</v>
      </c>
    </row>
    <row r="14" spans="1:20">
      <c r="A14" t="s">
        <v>323</v>
      </c>
      <c r="P14" s="7" t="s">
        <v>251</v>
      </c>
    </row>
    <row r="15" spans="1:20">
      <c r="B15" s="15" t="s">
        <v>324</v>
      </c>
      <c r="C15" s="15" t="s">
        <v>325</v>
      </c>
      <c r="D15" s="15" t="s">
        <v>326</v>
      </c>
      <c r="E15" s="15" t="s">
        <v>327</v>
      </c>
      <c r="R15" t="s">
        <v>485</v>
      </c>
    </row>
    <row r="16" spans="1:20">
      <c r="B16" s="11" t="s">
        <v>328</v>
      </c>
      <c r="C16" s="14">
        <v>10000</v>
      </c>
      <c r="D16" s="14">
        <v>30000</v>
      </c>
      <c r="E16" s="14">
        <v>40000</v>
      </c>
      <c r="P16" s="7"/>
      <c r="R16" t="s">
        <v>486</v>
      </c>
    </row>
    <row r="17" spans="1:5">
      <c r="B17" s="11" t="s">
        <v>329</v>
      </c>
      <c r="C17" s="14">
        <v>20000</v>
      </c>
      <c r="D17" s="14">
        <v>35000</v>
      </c>
      <c r="E17" s="14">
        <v>55000</v>
      </c>
    </row>
    <row r="18" spans="1:5">
      <c r="B18" s="11" t="s">
        <v>330</v>
      </c>
      <c r="C18" s="14">
        <v>30000</v>
      </c>
      <c r="D18" s="14">
        <v>40000</v>
      </c>
      <c r="E18" s="14">
        <v>70000</v>
      </c>
    </row>
    <row r="20" spans="1:5">
      <c r="A20" s="8" t="s">
        <v>183</v>
      </c>
    </row>
    <row r="21" spans="1:5">
      <c r="A21" t="s">
        <v>331</v>
      </c>
    </row>
    <row r="22" spans="1:5">
      <c r="A22" t="s">
        <v>332</v>
      </c>
    </row>
    <row r="23" spans="1:5">
      <c r="C23" t="s">
        <v>333</v>
      </c>
    </row>
    <row r="24" spans="1:5">
      <c r="C24" t="s">
        <v>334</v>
      </c>
    </row>
    <row r="26" spans="1:5">
      <c r="A26" s="15" t="s">
        <v>335</v>
      </c>
      <c r="B26" s="16">
        <v>0.08</v>
      </c>
      <c r="C26" s="16">
        <v>0.1</v>
      </c>
      <c r="D26" s="16">
        <v>0.12</v>
      </c>
    </row>
    <row r="27" spans="1:5">
      <c r="A27" s="12" t="s">
        <v>336</v>
      </c>
      <c r="B27" s="13" t="s">
        <v>337</v>
      </c>
      <c r="C27" s="13" t="s">
        <v>337</v>
      </c>
      <c r="D27" s="13" t="s">
        <v>337</v>
      </c>
    </row>
    <row r="28" spans="1:5">
      <c r="A28" s="12" t="s">
        <v>338</v>
      </c>
      <c r="B28" s="13" t="s">
        <v>337</v>
      </c>
      <c r="C28" s="13" t="s">
        <v>337</v>
      </c>
      <c r="D28" s="13" t="s">
        <v>337</v>
      </c>
    </row>
    <row r="29" spans="1:5">
      <c r="A29" s="12" t="s">
        <v>339</v>
      </c>
      <c r="B29" s="13" t="s">
        <v>337</v>
      </c>
      <c r="C29" s="13" t="s">
        <v>337</v>
      </c>
      <c r="D29" s="13" t="s">
        <v>337</v>
      </c>
    </row>
    <row r="31" spans="1:5">
      <c r="A31" s="7" t="s">
        <v>340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34F95-8780-4A40-A307-CD3D0CD5D6DB}">
  <dimension ref="A1:Y13"/>
  <sheetViews>
    <sheetView workbookViewId="0">
      <selection activeCell="E18" sqref="E18"/>
    </sheetView>
  </sheetViews>
  <sheetFormatPr defaultRowHeight="14.4"/>
  <sheetData>
    <row r="1" spans="1:25" ht="31.2">
      <c r="A1" s="5" t="s">
        <v>128</v>
      </c>
      <c r="P1" s="5" t="s">
        <v>192</v>
      </c>
    </row>
    <row r="3" spans="1:25" ht="31.2">
      <c r="A3" s="6" t="s">
        <v>184</v>
      </c>
      <c r="P3" s="5" t="s">
        <v>252</v>
      </c>
      <c r="Y3" s="5" t="s">
        <v>258</v>
      </c>
    </row>
    <row r="4" spans="1:25">
      <c r="A4" s="7"/>
      <c r="P4" s="7"/>
      <c r="Y4" s="7"/>
    </row>
    <row r="5" spans="1:25">
      <c r="A5" s="7" t="s">
        <v>185</v>
      </c>
      <c r="P5" s="7" t="s">
        <v>253</v>
      </c>
      <c r="Y5" s="7" t="s">
        <v>259</v>
      </c>
    </row>
    <row r="6" spans="1:25">
      <c r="A6" s="7" t="s">
        <v>186</v>
      </c>
      <c r="P6" s="7"/>
      <c r="Y6" s="7"/>
    </row>
    <row r="7" spans="1:25">
      <c r="A7" s="7" t="s">
        <v>341</v>
      </c>
      <c r="P7" s="7" t="s">
        <v>254</v>
      </c>
      <c r="Y7" s="7" t="s">
        <v>260</v>
      </c>
    </row>
    <row r="8" spans="1:25">
      <c r="A8" s="7" t="s">
        <v>187</v>
      </c>
      <c r="P8" s="7"/>
      <c r="Y8" s="7"/>
    </row>
    <row r="9" spans="1:25">
      <c r="A9" s="7" t="s">
        <v>342</v>
      </c>
      <c r="P9" s="7" t="s">
        <v>255</v>
      </c>
      <c r="Y9" s="7" t="s">
        <v>261</v>
      </c>
    </row>
    <row r="10" spans="1:25">
      <c r="A10" s="7" t="s">
        <v>188</v>
      </c>
      <c r="P10" s="7"/>
      <c r="Y10" s="7"/>
    </row>
    <row r="11" spans="1:25">
      <c r="A11" s="7" t="s">
        <v>343</v>
      </c>
      <c r="P11" s="7" t="s">
        <v>256</v>
      </c>
      <c r="Y11" s="7" t="s">
        <v>262</v>
      </c>
    </row>
    <row r="12" spans="1:25">
      <c r="A12" s="7" t="s">
        <v>189</v>
      </c>
      <c r="P12" s="7"/>
      <c r="Y12" s="7"/>
    </row>
    <row r="13" spans="1:25">
      <c r="A13" t="s">
        <v>344</v>
      </c>
      <c r="P13" s="7" t="s">
        <v>257</v>
      </c>
      <c r="Y13" s="7" t="s">
        <v>263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FB81C-E96A-4B39-832F-EC9713666188}">
  <dimension ref="A1:P11"/>
  <sheetViews>
    <sheetView workbookViewId="0">
      <selection activeCell="L21" sqref="L21"/>
    </sheetView>
  </sheetViews>
  <sheetFormatPr defaultRowHeight="14.4"/>
  <sheetData>
    <row r="1" spans="1:16" ht="31.2">
      <c r="A1" s="5" t="s">
        <v>128</v>
      </c>
      <c r="P1" s="5"/>
    </row>
    <row r="3" spans="1:16" ht="23.4">
      <c r="A3" s="6" t="s">
        <v>190</v>
      </c>
    </row>
    <row r="4" spans="1:16">
      <c r="A4" s="7"/>
    </row>
    <row r="5" spans="1:16">
      <c r="A5" s="7" t="s">
        <v>191</v>
      </c>
    </row>
    <row r="6" spans="1:16">
      <c r="A6" s="7" t="s">
        <v>345</v>
      </c>
    </row>
    <row r="7" spans="1:16">
      <c r="A7" s="7" t="s">
        <v>346</v>
      </c>
    </row>
    <row r="8" spans="1:16">
      <c r="A8" s="7" t="s">
        <v>347</v>
      </c>
    </row>
    <row r="9" spans="1:16">
      <c r="A9" s="7" t="s">
        <v>348</v>
      </c>
    </row>
    <row r="10" spans="1:16">
      <c r="A10" s="7" t="s">
        <v>349</v>
      </c>
    </row>
    <row r="11" spans="1:16">
      <c r="A11" s="7" t="s">
        <v>350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40DD5-F985-45E0-8528-D4E8722AA87C}">
  <dimension ref="A1:CR105"/>
  <sheetViews>
    <sheetView topLeftCell="A75" zoomScaleNormal="115" workbookViewId="0">
      <selection activeCell="H100" sqref="H100"/>
    </sheetView>
  </sheetViews>
  <sheetFormatPr defaultRowHeight="14.4"/>
  <cols>
    <col min="1" max="1" width="9.77734375" customWidth="1"/>
    <col min="2" max="2" width="16.33203125" customWidth="1"/>
    <col min="3" max="3" width="12.44140625" bestFit="1" customWidth="1"/>
    <col min="4" max="5" width="11.5546875" bestFit="1" customWidth="1"/>
    <col min="6" max="6" width="7.44140625" customWidth="1"/>
    <col min="7" max="7" width="12.44140625" bestFit="1" customWidth="1"/>
    <col min="8" max="9" width="11.5546875" bestFit="1" customWidth="1"/>
    <col min="10" max="10" width="7.44140625" customWidth="1"/>
    <col min="11" max="11" width="11.88671875" customWidth="1"/>
    <col min="12" max="12" width="13.88671875" customWidth="1"/>
    <col min="13" max="13" width="11.88671875" customWidth="1"/>
    <col min="14" max="14" width="16.5546875" style="26" customWidth="1"/>
    <col min="15" max="15" width="13.109375" customWidth="1"/>
    <col min="16" max="16" width="15.6640625" customWidth="1"/>
    <col min="17" max="17" width="14.109375" customWidth="1"/>
    <col min="18" max="18" width="18.6640625" customWidth="1"/>
    <col min="19" max="19" width="15.33203125" customWidth="1"/>
    <col min="20" max="23" width="17" customWidth="1"/>
    <col min="26" max="26" width="8.88671875" customWidth="1"/>
    <col min="27" max="27" width="10.33203125" bestFit="1" customWidth="1"/>
    <col min="29" max="29" width="10.33203125" bestFit="1" customWidth="1"/>
    <col min="31" max="31" width="10.33203125" bestFit="1" customWidth="1"/>
    <col min="32" max="44" width="10.33203125" customWidth="1"/>
    <col min="45" max="45" width="15.44140625" customWidth="1"/>
    <col min="46" max="46" width="11.21875" customWidth="1"/>
    <col min="47" max="47" width="12.44140625" bestFit="1" customWidth="1"/>
    <col min="48" max="49" width="11.5546875" bestFit="1" customWidth="1"/>
    <col min="51" max="51" width="12.44140625" bestFit="1" customWidth="1"/>
    <col min="52" max="53" width="11.5546875" bestFit="1" customWidth="1"/>
    <col min="66" max="66" width="10.6640625" customWidth="1"/>
    <col min="76" max="76" width="10.33203125" bestFit="1" customWidth="1"/>
    <col min="84" max="84" width="12.44140625" customWidth="1"/>
    <col min="91" max="91" width="8.5546875" customWidth="1"/>
    <col min="92" max="92" width="13.21875" customWidth="1"/>
    <col min="93" max="93" width="14.21875" customWidth="1"/>
    <col min="94" max="94" width="15.6640625" customWidth="1"/>
    <col min="95" max="95" width="13.6640625" customWidth="1"/>
  </cols>
  <sheetData>
    <row r="1" spans="1:96" s="1" customFormat="1">
      <c r="A1" s="19" t="s">
        <v>0</v>
      </c>
      <c r="B1" s="20" t="s">
        <v>1</v>
      </c>
      <c r="C1" s="20" t="s">
        <v>2</v>
      </c>
      <c r="D1" s="20" t="s">
        <v>3</v>
      </c>
      <c r="E1" s="20" t="s">
        <v>4</v>
      </c>
      <c r="F1" s="20" t="s">
        <v>5</v>
      </c>
      <c r="G1" s="20" t="s">
        <v>476</v>
      </c>
      <c r="H1" s="20" t="s">
        <v>6</v>
      </c>
      <c r="I1" s="20" t="s">
        <v>7</v>
      </c>
      <c r="J1" s="20" t="s">
        <v>8</v>
      </c>
      <c r="K1" s="20" t="s">
        <v>9</v>
      </c>
      <c r="L1" s="34" t="s">
        <v>112</v>
      </c>
      <c r="M1" s="34" t="s">
        <v>110</v>
      </c>
      <c r="N1" s="35" t="s">
        <v>104</v>
      </c>
      <c r="O1" s="34" t="s">
        <v>105</v>
      </c>
      <c r="P1" s="34" t="s">
        <v>106</v>
      </c>
      <c r="Q1" s="34" t="s">
        <v>111</v>
      </c>
      <c r="R1" s="34" t="s">
        <v>107</v>
      </c>
      <c r="S1" s="34" t="s">
        <v>108</v>
      </c>
      <c r="T1" s="36" t="s">
        <v>109</v>
      </c>
      <c r="U1" s="34" t="s">
        <v>376</v>
      </c>
      <c r="V1" s="34" t="s">
        <v>377</v>
      </c>
      <c r="W1" s="34" t="s">
        <v>378</v>
      </c>
      <c r="X1" s="34" t="s">
        <v>379</v>
      </c>
      <c r="Y1" s="34" t="s">
        <v>380</v>
      </c>
      <c r="Z1" s="34" t="s">
        <v>396</v>
      </c>
      <c r="AA1" s="34" t="s">
        <v>398</v>
      </c>
      <c r="AB1" s="34" t="s">
        <v>397</v>
      </c>
      <c r="AC1" s="34" t="s">
        <v>432</v>
      </c>
      <c r="AD1" s="34" t="s">
        <v>431</v>
      </c>
      <c r="AE1" s="34" t="s">
        <v>429</v>
      </c>
      <c r="AF1" s="34" t="s">
        <v>430</v>
      </c>
      <c r="AG1" s="34" t="s">
        <v>433</v>
      </c>
      <c r="AH1" s="34" t="s">
        <v>434</v>
      </c>
      <c r="AI1" s="34" t="s">
        <v>435</v>
      </c>
      <c r="AJ1" s="34" t="s">
        <v>436</v>
      </c>
      <c r="AK1" s="34" t="s">
        <v>454</v>
      </c>
      <c r="AL1" s="34" t="s">
        <v>461</v>
      </c>
      <c r="AM1" s="34" t="s">
        <v>462</v>
      </c>
      <c r="AN1" s="34" t="s">
        <v>459</v>
      </c>
      <c r="AO1" s="34" t="s">
        <v>455</v>
      </c>
      <c r="AP1" s="20" t="s">
        <v>482</v>
      </c>
      <c r="AQ1" s="34" t="s">
        <v>483</v>
      </c>
      <c r="AR1" s="34" t="s">
        <v>484</v>
      </c>
      <c r="AS1" s="34" t="s">
        <v>337</v>
      </c>
      <c r="AT1" t="s">
        <v>357</v>
      </c>
      <c r="AY1" t="s">
        <v>371</v>
      </c>
      <c r="BN1" s="7" t="s">
        <v>404</v>
      </c>
      <c r="BX1" s="7" t="s">
        <v>446</v>
      </c>
      <c r="CF1" s="7" t="s">
        <v>464</v>
      </c>
      <c r="CN1" s="7" t="s">
        <v>474</v>
      </c>
    </row>
    <row r="2" spans="1:96">
      <c r="A2" s="17">
        <v>1001</v>
      </c>
      <c r="B2" s="2" t="s">
        <v>10</v>
      </c>
      <c r="C2" s="2" t="s">
        <v>11</v>
      </c>
      <c r="D2" s="2" t="s">
        <v>12</v>
      </c>
      <c r="E2" s="2" t="s">
        <v>13</v>
      </c>
      <c r="F2" s="2">
        <v>1200</v>
      </c>
      <c r="G2" s="2">
        <f>Table1[[#This Row],[Sales]]*0.7</f>
        <v>840</v>
      </c>
      <c r="H2" s="2">
        <v>2</v>
      </c>
      <c r="I2" s="2">
        <v>0.1</v>
      </c>
      <c r="J2" s="2">
        <f>Table1[[#This Row],[Sales]]-Table1[[#This Row],[Cost]]</f>
        <v>360</v>
      </c>
      <c r="K2" s="3">
        <v>44927</v>
      </c>
      <c r="L2" s="3">
        <v>44928</v>
      </c>
      <c r="M2" s="4">
        <v>1080</v>
      </c>
      <c r="N2" s="27">
        <v>0.16666666666666666</v>
      </c>
      <c r="O2" s="4" t="s">
        <v>113</v>
      </c>
      <c r="P2" s="4" t="s">
        <v>114</v>
      </c>
      <c r="Q2" s="4" t="s">
        <v>115</v>
      </c>
      <c r="R2" s="4" t="s">
        <v>116</v>
      </c>
      <c r="S2" s="4" t="s">
        <v>264</v>
      </c>
      <c r="T2" s="18">
        <v>120</v>
      </c>
      <c r="U2" s="29" t="str">
        <f>IF(Table1[[#This Row],[Profit]]&gt;800,"High Profit","Low Profit")</f>
        <v>Low Profit</v>
      </c>
      <c r="V2" s="29" t="str">
        <f>IF(AND(Table1[[#This Row],[Quantity]]&gt;2,Table1[[#This Row],[Discount]]&gt;0.04),"Bulk Deal","Ok Deal")</f>
        <v>Ok Deal</v>
      </c>
      <c r="W2" s="29" t="str">
        <f>IF(OR(Table1[[#This Row],[Region]]="East",Table1[[#This Row],[Region]]="West"),"High Priority Region","Only Region")</f>
        <v>High Priority Region</v>
      </c>
      <c r="X2" s="29" t="str">
        <f>LEFT(Table1[[#This Row],[Product Name]],5)</f>
        <v>Chair</v>
      </c>
      <c r="Y2" s="29">
        <f>MONTH(Table1[[#This Row],[Order Date]])</f>
        <v>1</v>
      </c>
      <c r="Z2" s="29" t="str">
        <f>RIGHT(Table1[[#This Row],[Customer Name]],LEN(Table1[[#This Row],[Customer Name]])-FIND(" ",Table1[[#This Row],[Customer Name]])) &amp; ",  " &amp; LEFT(Table1[[#This Row],[Customer Name]],FIND(" ",Table1[[#This Row],[Customer Name]])-1)</f>
        <v>Smith,  Alice</v>
      </c>
      <c r="AA2" s="30">
        <f>Table1[[#This Row],[Order Date]]-10</f>
        <v>44917</v>
      </c>
      <c r="AB2" s="29" t="str">
        <f>TEXT(Table1[[#This Row],[Discount]],"0%")</f>
        <v>10%</v>
      </c>
      <c r="AC2" s="30">
        <f>K2+10</f>
        <v>44937</v>
      </c>
      <c r="AD2" s="29">
        <f>YEAR(Table1[[#This Row],[Order Date]])</f>
        <v>2023</v>
      </c>
      <c r="AE2" s="30">
        <v>31779</v>
      </c>
      <c r="AF2" s="29">
        <f ca="1">DATEDIF(Table1[[#This Row],[Birthdate]],TODAY(),"Y")</f>
        <v>39</v>
      </c>
      <c r="AG2" s="29">
        <f>WEEKNUM(Table1[[#This Row],[Order Date]])</f>
        <v>1</v>
      </c>
      <c r="AH2" s="29">
        <f>NETWORKDAYS(Table1[[#This Row],[Order Date]],Table1[[#This Row],[Delivery Date]])</f>
        <v>1</v>
      </c>
      <c r="AI2" s="29">
        <f>WEEKDAY(Table1[[#This Row],[Order Date]])</f>
        <v>1</v>
      </c>
      <c r="AJ2" s="31" t="str">
        <f ca="1">IF(Table1[[#This Row],[Order Date]]&lt;TODAY(),"Old Order","New Order")</f>
        <v>Old Order</v>
      </c>
      <c r="AK2" s="29">
        <f ca="1">RANK(Table1[[#This Row],[Sales]],Table1[[#All],[Order ID]:[OrderDate]])</f>
        <v>393</v>
      </c>
      <c r="AL2" s="7">
        <f ca="1">SUM(OFFSET(K2,10,0,COUNTA(Table1[[#All],[Sales]])-1))</f>
        <v>1798620</v>
      </c>
      <c r="AM2" s="30">
        <f>AVERAGE(K2:K4)</f>
        <v>44929</v>
      </c>
      <c r="AN2" s="29" t="str" cm="1">
        <f t="array" ref="AN2">_xlfn.IFS(Table1[[#This Row],[Profit]]&gt;3000,"A",Table1[[#This Row],[Profit]]&gt;1000,"B",Table1[[#This Row],[Profit]]&gt;500,"C",TRUE,"D")</f>
        <v>D</v>
      </c>
      <c r="AO2" s="29">
        <f>SUM($F$2:F2)</f>
        <v>1200</v>
      </c>
      <c r="AP2" s="29">
        <v>1360610</v>
      </c>
      <c r="AQ2" s="29">
        <v>10</v>
      </c>
      <c r="AR2" s="29">
        <v>10</v>
      </c>
      <c r="AS2" s="37">
        <f>PMT(Table1[[#This Row],[Loan Amount]]/12,Table1[[#This Row],[Interest Rate]],-Table1[[#This Row],[Tenure (Months)]])</f>
        <v>1133841.6666666667</v>
      </c>
      <c r="AT2">
        <f>SUMIF(Table1[[#All],[Region]],"East",Table1[[#All],[Sales]])</f>
        <v>41300</v>
      </c>
      <c r="AU2">
        <f>SUMIF(Table1[[#All],[Region]],"South",Table1[[#All],[Sales]])</f>
        <v>178600</v>
      </c>
      <c r="AV2">
        <f>SUMIF(Table1[[#All],[Region]],"West",Table1[[#All],[Sales]])</f>
        <v>57940</v>
      </c>
      <c r="AW2">
        <f>SUMIF(Table1[[#All],[Region]],"North",Table1[[#All],[Sales]])</f>
        <v>37060</v>
      </c>
      <c r="AY2" t="s">
        <v>381</v>
      </c>
      <c r="BN2" s="7" t="str">
        <f>VLOOKUP(Table1[[#This Row],[Order ID]],Table1[#All],2,0)</f>
        <v>Alice Smith</v>
      </c>
      <c r="BP2" t="s">
        <v>408</v>
      </c>
      <c r="BX2" s="7" t="s">
        <v>437</v>
      </c>
      <c r="CF2" s="7" t="s">
        <v>460</v>
      </c>
      <c r="CN2" s="7"/>
    </row>
    <row r="3" spans="1:96">
      <c r="A3" s="17">
        <v>1002</v>
      </c>
      <c r="B3" s="2" t="s">
        <v>14</v>
      </c>
      <c r="C3" s="2" t="s">
        <v>15</v>
      </c>
      <c r="D3" s="2" t="s">
        <v>16</v>
      </c>
      <c r="E3" s="2" t="s">
        <v>17</v>
      </c>
      <c r="F3" s="2">
        <v>150</v>
      </c>
      <c r="G3" s="2">
        <f>Table1[[#This Row],[Sales]]*0.7</f>
        <v>105</v>
      </c>
      <c r="H3" s="2">
        <v>5</v>
      </c>
      <c r="I3" s="2">
        <v>0.05</v>
      </c>
      <c r="J3" s="2">
        <f>Table1[[#This Row],[Sales]]-Table1[[#This Row],[Cost]]</f>
        <v>45</v>
      </c>
      <c r="K3" s="3">
        <v>44929</v>
      </c>
      <c r="L3" s="3">
        <v>44937</v>
      </c>
      <c r="M3" s="4">
        <v>142.5</v>
      </c>
      <c r="N3" s="27">
        <v>0.2</v>
      </c>
      <c r="O3" s="4" t="s">
        <v>113</v>
      </c>
      <c r="P3" s="4" t="s">
        <v>117</v>
      </c>
      <c r="Q3" s="4" t="s">
        <v>118</v>
      </c>
      <c r="R3" s="4" t="s">
        <v>116</v>
      </c>
      <c r="S3" s="4" t="s">
        <v>265</v>
      </c>
      <c r="T3" s="18">
        <v>7.5</v>
      </c>
      <c r="U3" s="29" t="str">
        <f>IF(Table1[[#This Row],[Profit]]&gt;800,"High Profit","Low Profit")</f>
        <v>Low Profit</v>
      </c>
      <c r="V3" s="29" t="str">
        <f>IF(AND(Table1[[#This Row],[Quantity]]&gt;2,Table1[[#This Row],[Discount]]&gt;0.04),"Bulk Deal","Ok Deal")</f>
        <v>Bulk Deal</v>
      </c>
      <c r="W3" s="29" t="str">
        <f>IF(OR(Table1[[#This Row],[Region]]="East",Table1[[#This Row],[Region]]="West"),"High Priority Region","Only Region")</f>
        <v>High Priority Region</v>
      </c>
      <c r="X3" s="29" t="str">
        <f>LEFT(Table1[[#This Row],[Product Name]],5)</f>
        <v>Stapl</v>
      </c>
      <c r="Y3" s="29">
        <f>MONTH(Table1[[#This Row],[Order Date]])</f>
        <v>1</v>
      </c>
      <c r="Z3" s="29" t="str">
        <f>RIGHT(Table1[[#This Row],[Customer Name]],LEN(Table1[[#This Row],[Customer Name]])-FIND(" ",Table1[[#This Row],[Customer Name]])) &amp; ",  " &amp; LEFT(Table1[[#This Row],[Customer Name]],FIND(" ",Table1[[#This Row],[Customer Name]])-1)</f>
        <v>Johnson,  Bob</v>
      </c>
      <c r="AA3" s="30">
        <f>Table1[[#This Row],[Order Date]]-10</f>
        <v>44919</v>
      </c>
      <c r="AB3" s="29" t="str">
        <f>TEXT(Table1[[#This Row],[Discount]],"0%")</f>
        <v>5%</v>
      </c>
      <c r="AC3" s="30">
        <f t="shared" ref="AC3:AC51" si="0">K3+10</f>
        <v>44939</v>
      </c>
      <c r="AD3" s="29">
        <f>YEAR(Table1[[#This Row],[Order Date]])</f>
        <v>2023</v>
      </c>
      <c r="AE3" s="30">
        <v>35656</v>
      </c>
      <c r="AF3" s="29">
        <f ca="1">DATEDIF(Table1[[#This Row],[Birthdate]],TODAY(),"Y")</f>
        <v>28</v>
      </c>
      <c r="AG3" s="29">
        <f>WEEKNUM(Table1[[#This Row],[Order Date]])</f>
        <v>1</v>
      </c>
      <c r="AH3" s="29">
        <f>NETWORKDAYS(Table1[[#This Row],[Order Date]],Table1[[#This Row],[Delivery Date]])</f>
        <v>7</v>
      </c>
      <c r="AI3" s="29">
        <f>WEEKDAY(Table1[[#This Row],[Order Date]])</f>
        <v>3</v>
      </c>
      <c r="AJ3" s="31" t="str">
        <f ca="1">IF(Table1[[#This Row],[Order Date]]&lt;TODAY(),"Old Order","New Order")</f>
        <v>Old Order</v>
      </c>
      <c r="AK3" s="29">
        <f ca="1">RANK(Table1[[#This Row],[Sales]],Table1[[#All],[Order ID]:[OrderDate]])</f>
        <v>515</v>
      </c>
      <c r="AL3" s="7">
        <f ca="1">SUM(OFFSET(K3,10,0,COUNTA(Table1[[#All],[Sales]])-1))</f>
        <v>1753674</v>
      </c>
      <c r="AM3" s="30">
        <f t="shared" ref="AM3:AM51" si="1">AVERAGE(K3:K5)</f>
        <v>44931</v>
      </c>
      <c r="AN3" s="29" t="str" cm="1">
        <f t="array" ref="AN3">_xlfn.IFS(Table1[[#This Row],[Profit]]&gt;3000,"A",Table1[[#This Row],[Profit]]&gt;1000,"B",Table1[[#This Row],[Profit]]&gt;500,"C",TRUE,"D")</f>
        <v>D</v>
      </c>
      <c r="AO3" s="29">
        <f>SUM($F$2:F3)</f>
        <v>1350</v>
      </c>
      <c r="AP3" s="29">
        <v>2069646</v>
      </c>
      <c r="AQ3" s="29">
        <v>8</v>
      </c>
      <c r="AR3" s="29">
        <v>8</v>
      </c>
      <c r="AS3" s="37">
        <f>PMT(Table1[[#This Row],[Loan Amount]]/12,Table1[[#This Row],[Interest Rate]],-Table1[[#This Row],[Tenure (Months)]])</f>
        <v>1379764</v>
      </c>
      <c r="CN3" s="32" t="s">
        <v>5</v>
      </c>
      <c r="CO3" s="32" t="s">
        <v>476</v>
      </c>
      <c r="CP3" s="32" t="s">
        <v>6</v>
      </c>
      <c r="CQ3" s="32" t="s">
        <v>7</v>
      </c>
      <c r="CR3" s="32" t="s">
        <v>8</v>
      </c>
    </row>
    <row r="4" spans="1:96">
      <c r="A4" s="17">
        <v>1003</v>
      </c>
      <c r="B4" s="2" t="s">
        <v>18</v>
      </c>
      <c r="C4" s="2" t="s">
        <v>19</v>
      </c>
      <c r="D4" s="2" t="s">
        <v>20</v>
      </c>
      <c r="E4" s="2" t="s">
        <v>21</v>
      </c>
      <c r="F4" s="2">
        <v>75000</v>
      </c>
      <c r="G4" s="2">
        <f>Table1[[#This Row],[Sales]]*0.7</f>
        <v>52500</v>
      </c>
      <c r="H4" s="2">
        <v>1</v>
      </c>
      <c r="I4" s="2">
        <v>0.15</v>
      </c>
      <c r="J4" s="2">
        <f>Table1[[#This Row],[Sales]]-Table1[[#This Row],[Cost]]</f>
        <v>22500</v>
      </c>
      <c r="K4" s="3">
        <v>44931</v>
      </c>
      <c r="L4" s="3">
        <v>44934</v>
      </c>
      <c r="M4" s="4">
        <v>63750</v>
      </c>
      <c r="N4" s="27">
        <v>0.10666666666666667</v>
      </c>
      <c r="O4" s="4" t="s">
        <v>113</v>
      </c>
      <c r="P4" s="4" t="s">
        <v>119</v>
      </c>
      <c r="Q4" s="4" t="s">
        <v>120</v>
      </c>
      <c r="R4" s="4" t="s">
        <v>121</v>
      </c>
      <c r="S4" s="4" t="s">
        <v>264</v>
      </c>
      <c r="T4" s="18">
        <v>11250</v>
      </c>
      <c r="U4" s="29" t="str">
        <f>IF(Table1[[#This Row],[Profit]]&gt;800,"High Profit","Low Profit")</f>
        <v>High Profit</v>
      </c>
      <c r="V4" s="29" t="str">
        <f>IF(AND(Table1[[#This Row],[Quantity]]&gt;2,Table1[[#This Row],[Discount]]&gt;0.04),"Bulk Deal","Ok Deal")</f>
        <v>Ok Deal</v>
      </c>
      <c r="W4" s="29" t="str">
        <f>IF(OR(Table1[[#This Row],[Region]]="East",Table1[[#This Row],[Region]]="West"),"High Priority Region","Only Region")</f>
        <v>Only Region</v>
      </c>
      <c r="X4" s="29" t="str">
        <f>LEFT(Table1[[#This Row],[Product Name]],5)</f>
        <v>Lapto</v>
      </c>
      <c r="Y4" s="29">
        <f>MONTH(Table1[[#This Row],[Order Date]])</f>
        <v>1</v>
      </c>
      <c r="Z4" s="29" t="str">
        <f>RIGHT(Table1[[#This Row],[Customer Name]],LEN(Table1[[#This Row],[Customer Name]])-FIND(" ",Table1[[#This Row],[Customer Name]])) &amp; ",  " &amp; LEFT(Table1[[#This Row],[Customer Name]],FIND(" ",Table1[[#This Row],[Customer Name]])-1)</f>
        <v>Lee,  Carol</v>
      </c>
      <c r="AA4" s="30">
        <f>Table1[[#This Row],[Order Date]]-10</f>
        <v>44921</v>
      </c>
      <c r="AB4" s="29" t="str">
        <f>TEXT(Table1[[#This Row],[Discount]],"0%")</f>
        <v>15%</v>
      </c>
      <c r="AC4" s="30">
        <f t="shared" si="0"/>
        <v>44941</v>
      </c>
      <c r="AD4" s="29">
        <f>YEAR(Table1[[#This Row],[Order Date]])</f>
        <v>2023</v>
      </c>
      <c r="AE4" s="30">
        <v>36651</v>
      </c>
      <c r="AF4" s="29">
        <f ca="1">DATEDIF(Table1[[#This Row],[Birthdate]],TODAY(),"Y")</f>
        <v>25</v>
      </c>
      <c r="AG4" s="29">
        <f>WEEKNUM(Table1[[#This Row],[Order Date]])</f>
        <v>1</v>
      </c>
      <c r="AH4" s="29">
        <f>NETWORKDAYS(Table1[[#This Row],[Order Date]],Table1[[#This Row],[Delivery Date]])</f>
        <v>2</v>
      </c>
      <c r="AI4" s="29">
        <f>WEEKDAY(Table1[[#This Row],[Order Date]])</f>
        <v>5</v>
      </c>
      <c r="AJ4" s="31" t="str">
        <f ca="1">IF(Table1[[#This Row],[Order Date]]&lt;TODAY(),"Old Order","New Order")</f>
        <v>Old Order</v>
      </c>
      <c r="AK4" s="29">
        <f ca="1">RANK(Table1[[#This Row],[Sales]],Table1[[#All],[Order ID]:[OrderDate]])</f>
        <v>1</v>
      </c>
      <c r="AL4" s="7">
        <f ca="1">SUM(OFFSET(K4,10,0,COUNTA(Table1[[#All],[Sales]])-1))</f>
        <v>1708727</v>
      </c>
      <c r="AM4" s="30">
        <f t="shared" si="1"/>
        <v>44933</v>
      </c>
      <c r="AN4" s="29" t="str" cm="1">
        <f t="array" ref="AN4">_xlfn.IFS(Table1[[#This Row],[Profit]]&gt;3000,"A",Table1[[#This Row],[Profit]]&gt;1000,"B",Table1[[#This Row],[Profit]]&gt;500,"C",TRUE,"D")</f>
        <v>A</v>
      </c>
      <c r="AO4" s="29">
        <f>SUM($F$2:F4)</f>
        <v>76350</v>
      </c>
      <c r="AP4" s="29">
        <v>1860325</v>
      </c>
      <c r="AQ4" s="29">
        <v>10</v>
      </c>
      <c r="AR4" s="29">
        <v>12</v>
      </c>
      <c r="AS4" s="37">
        <f>PMT(Table1[[#This Row],[Loan Amount]]/12,Table1[[#This Row],[Interest Rate]],-Table1[[#This Row],[Tenure (Months)]])</f>
        <v>1860325</v>
      </c>
      <c r="AT4" t="s">
        <v>358</v>
      </c>
      <c r="AY4" t="s">
        <v>372</v>
      </c>
      <c r="BN4" s="7" t="s">
        <v>405</v>
      </c>
      <c r="BX4" s="7" t="s">
        <v>447</v>
      </c>
      <c r="CF4" s="7" t="s">
        <v>463</v>
      </c>
      <c r="CN4" s="33">
        <v>1200</v>
      </c>
      <c r="CO4" s="33">
        <f>Table1[[#This Row],[Sales]]*0.7</f>
        <v>52500</v>
      </c>
      <c r="CP4" s="33">
        <v>2</v>
      </c>
      <c r="CQ4" s="33">
        <v>0.1</v>
      </c>
      <c r="CR4" s="33">
        <f>Table1[[#This Row],[Sales]]-Table1[[#This Row],[Cost]]</f>
        <v>22500</v>
      </c>
    </row>
    <row r="5" spans="1:96">
      <c r="A5" s="17">
        <v>1004</v>
      </c>
      <c r="B5" s="2" t="s">
        <v>22</v>
      </c>
      <c r="C5" s="2" t="s">
        <v>23</v>
      </c>
      <c r="D5" s="2" t="s">
        <v>12</v>
      </c>
      <c r="E5" s="2" t="s">
        <v>24</v>
      </c>
      <c r="F5" s="2">
        <v>5000</v>
      </c>
      <c r="G5" s="2">
        <f>Table1[[#This Row],[Sales]]*0.7</f>
        <v>3500</v>
      </c>
      <c r="H5" s="2">
        <v>1</v>
      </c>
      <c r="I5" s="2">
        <v>0</v>
      </c>
      <c r="J5" s="2">
        <f>Table1[[#This Row],[Sales]]-Table1[[#This Row],[Cost]]</f>
        <v>1500</v>
      </c>
      <c r="K5" s="3">
        <v>44933</v>
      </c>
      <c r="L5" s="3">
        <v>44936</v>
      </c>
      <c r="M5" s="4">
        <v>5000</v>
      </c>
      <c r="N5" s="27">
        <v>0.18</v>
      </c>
      <c r="O5" s="4" t="s">
        <v>113</v>
      </c>
      <c r="P5" s="4" t="s">
        <v>122</v>
      </c>
      <c r="Q5" s="4" t="s">
        <v>115</v>
      </c>
      <c r="R5" s="4" t="s">
        <v>123</v>
      </c>
      <c r="S5" s="4" t="s">
        <v>264</v>
      </c>
      <c r="T5" s="18">
        <v>0</v>
      </c>
      <c r="U5" s="29" t="str">
        <f>IF(Table1[[#This Row],[Profit]]&gt;800,"High Profit","Low Profit")</f>
        <v>High Profit</v>
      </c>
      <c r="V5" s="29" t="str">
        <f>IF(AND(Table1[[#This Row],[Quantity]]&gt;2,Table1[[#This Row],[Discount]]&gt;0.04),"Bulk Deal","Ok Deal")</f>
        <v>Ok Deal</v>
      </c>
      <c r="W5" s="29" t="str">
        <f>IF(OR(Table1[[#This Row],[Region]]="East",Table1[[#This Row],[Region]]="West"),"High Priority Region","Only Region")</f>
        <v>Only Region</v>
      </c>
      <c r="X5" s="29" t="str">
        <f>LEFT(Table1[[#This Row],[Product Name]],5)</f>
        <v>Desk</v>
      </c>
      <c r="Y5" s="29">
        <f>MONTH(Table1[[#This Row],[Order Date]])</f>
        <v>1</v>
      </c>
      <c r="Z5" s="29" t="str">
        <f>RIGHT(Table1[[#This Row],[Customer Name]],LEN(Table1[[#This Row],[Customer Name]])-FIND(" ",Table1[[#This Row],[Customer Name]])) &amp; ",  " &amp; LEFT(Table1[[#This Row],[Customer Name]],FIND(" ",Table1[[#This Row],[Customer Name]])-1)</f>
        <v>Brown,  David</v>
      </c>
      <c r="AA5" s="30">
        <f>Table1[[#This Row],[Order Date]]-10</f>
        <v>44923</v>
      </c>
      <c r="AB5" s="29" t="str">
        <f>TEXT(Table1[[#This Row],[Discount]],"0%")</f>
        <v>0%</v>
      </c>
      <c r="AC5" s="30">
        <f t="shared" si="0"/>
        <v>44943</v>
      </c>
      <c r="AD5" s="29">
        <f>YEAR(Table1[[#This Row],[Order Date]])</f>
        <v>2023</v>
      </c>
      <c r="AE5" s="30">
        <v>35903</v>
      </c>
      <c r="AF5" s="29">
        <f ca="1">DATEDIF(Table1[[#This Row],[Birthdate]],TODAY(),"Y")</f>
        <v>27</v>
      </c>
      <c r="AG5" s="29">
        <f>WEEKNUM(Table1[[#This Row],[Order Date]])</f>
        <v>1</v>
      </c>
      <c r="AH5" s="29">
        <f>NETWORKDAYS(Table1[[#This Row],[Order Date]],Table1[[#This Row],[Delivery Date]])</f>
        <v>2</v>
      </c>
      <c r="AI5" s="29">
        <f>WEEKDAY(Table1[[#This Row],[Order Date]])</f>
        <v>7</v>
      </c>
      <c r="AJ5" s="31" t="str">
        <f ca="1">IF(Table1[[#This Row],[Order Date]]&lt;TODAY(),"Old Order","New Order")</f>
        <v>Old Order</v>
      </c>
      <c r="AK5" s="29">
        <f ca="1">RANK(Table1[[#This Row],[Sales]],Table1[[#All],[Order ID]:[OrderDate]])</f>
        <v>292</v>
      </c>
      <c r="AL5" s="7">
        <f ca="1">SUM(OFFSET(K5,10,0,COUNTA(Table1[[#All],[Sales]])-1))</f>
        <v>1663779</v>
      </c>
      <c r="AM5" s="30">
        <f t="shared" si="1"/>
        <v>44935</v>
      </c>
      <c r="AN5" s="29" t="str" cm="1">
        <f t="array" ref="AN5">_xlfn.IFS(Table1[[#This Row],[Profit]]&gt;3000,"A",Table1[[#This Row],[Profit]]&gt;1000,"B",Table1[[#This Row],[Profit]]&gt;500,"C",TRUE,"D")</f>
        <v>B</v>
      </c>
      <c r="AO5" s="29">
        <f>SUM($F$2:F5)</f>
        <v>81350</v>
      </c>
      <c r="AP5" s="29">
        <v>1766582</v>
      </c>
      <c r="AQ5" s="29">
        <v>9</v>
      </c>
      <c r="AR5" s="29">
        <v>5</v>
      </c>
      <c r="AS5" s="37">
        <f>PMT(Table1[[#This Row],[Loan Amount]]/12,Table1[[#This Row],[Interest Rate]],-Table1[[#This Row],[Tenure (Months)]])</f>
        <v>736075.83333333326</v>
      </c>
      <c r="AT5">
        <f>SUMIFS(Table1[[#All],[Quantity]],Table1[[#All],[Product Category]],"Furniture")</f>
        <v>20</v>
      </c>
      <c r="AU5">
        <f>SUMIFS(Table1[[#All],[Quantity]],Table1[[#All],[Product Category]],"Office Supplies")</f>
        <v>74</v>
      </c>
      <c r="AV5">
        <f>SUMIFS(Table1[[#All],[Quantity]],Table1[[#All],[Product Category]],"Technology")</f>
        <v>22</v>
      </c>
      <c r="AY5" t="s">
        <v>383</v>
      </c>
      <c r="BN5" s="7" t="str">
        <f>VLOOKUP(A2,Table1[#All],4,0)</f>
        <v>Furniture</v>
      </c>
      <c r="BO5" t="s">
        <v>410</v>
      </c>
      <c r="BX5" s="7" t="s">
        <v>438</v>
      </c>
      <c r="CF5" s="7">
        <f ca="1">LARGE(Table1[[#All],[Order ID]:[Rank]],1)</f>
        <v>75000</v>
      </c>
      <c r="CG5" t="s">
        <v>465</v>
      </c>
      <c r="CN5" s="2">
        <v>150</v>
      </c>
      <c r="CO5" s="33">
        <f>Table1[[#This Row],[Sales]]*0.7</f>
        <v>3500</v>
      </c>
      <c r="CP5" s="2">
        <v>5</v>
      </c>
      <c r="CQ5" s="2">
        <v>0.05</v>
      </c>
      <c r="CR5" s="33">
        <f>Table1[[#This Row],[Sales]]-Table1[[#This Row],[Cost]]</f>
        <v>1500</v>
      </c>
    </row>
    <row r="6" spans="1:96">
      <c r="A6" s="17">
        <v>1005</v>
      </c>
      <c r="B6" s="2" t="s">
        <v>25</v>
      </c>
      <c r="C6" s="2" t="s">
        <v>11</v>
      </c>
      <c r="D6" s="2" t="s">
        <v>16</v>
      </c>
      <c r="E6" s="2" t="s">
        <v>26</v>
      </c>
      <c r="F6" s="2">
        <v>300</v>
      </c>
      <c r="G6" s="2">
        <f>Table1[[#This Row],[Sales]]*0.7</f>
        <v>210</v>
      </c>
      <c r="H6" s="2">
        <v>3</v>
      </c>
      <c r="I6" s="2">
        <v>0.05</v>
      </c>
      <c r="J6" s="2">
        <f>Table1[[#This Row],[Sales]]-Table1[[#This Row],[Cost]]</f>
        <v>90</v>
      </c>
      <c r="K6" s="3">
        <v>44935</v>
      </c>
      <c r="L6" s="3">
        <v>44943</v>
      </c>
      <c r="M6" s="4">
        <v>285</v>
      </c>
      <c r="N6" s="27">
        <v>0.16666666666666666</v>
      </c>
      <c r="O6" s="4" t="s">
        <v>113</v>
      </c>
      <c r="P6" s="4" t="s">
        <v>124</v>
      </c>
      <c r="Q6" s="4" t="s">
        <v>118</v>
      </c>
      <c r="R6" s="4" t="s">
        <v>116</v>
      </c>
      <c r="S6" s="4" t="s">
        <v>265</v>
      </c>
      <c r="T6" s="18">
        <v>15</v>
      </c>
      <c r="U6" s="29" t="str">
        <f>IF(Table1[[#This Row],[Profit]]&gt;800,"High Profit","Low Profit")</f>
        <v>Low Profit</v>
      </c>
      <c r="V6" s="29" t="str">
        <f>IF(AND(Table1[[#This Row],[Quantity]]&gt;2,Table1[[#This Row],[Discount]]&gt;0.04),"Bulk Deal","Ok Deal")</f>
        <v>Bulk Deal</v>
      </c>
      <c r="W6" s="29" t="str">
        <f>IF(OR(Table1[[#This Row],[Region]]="East",Table1[[#This Row],[Region]]="West"),"High Priority Region","Only Region")</f>
        <v>High Priority Region</v>
      </c>
      <c r="X6" s="29" t="str">
        <f>LEFT(Table1[[#This Row],[Product Name]],5)</f>
        <v>Pen S</v>
      </c>
      <c r="Y6" s="29">
        <f>MONTH(Table1[[#This Row],[Order Date]])</f>
        <v>1</v>
      </c>
      <c r="Z6" s="29" t="str">
        <f>RIGHT(Table1[[#This Row],[Customer Name]],LEN(Table1[[#This Row],[Customer Name]])-FIND(" ",Table1[[#This Row],[Customer Name]])) &amp; ",  " &amp; LEFT(Table1[[#This Row],[Customer Name]],FIND(" ",Table1[[#This Row],[Customer Name]])-1)</f>
        <v>Green,  Eva</v>
      </c>
      <c r="AA6" s="30">
        <f>Table1[[#This Row],[Order Date]]-10</f>
        <v>44925</v>
      </c>
      <c r="AB6" s="29" t="str">
        <f>TEXT(Table1[[#This Row],[Discount]],"0%")</f>
        <v>5%</v>
      </c>
      <c r="AC6" s="30">
        <f t="shared" si="0"/>
        <v>44945</v>
      </c>
      <c r="AD6" s="29">
        <f>YEAR(Table1[[#This Row],[Order Date]])</f>
        <v>2023</v>
      </c>
      <c r="AE6" s="30">
        <v>33305</v>
      </c>
      <c r="AF6" s="29">
        <f ca="1">DATEDIF(Table1[[#This Row],[Birthdate]],TODAY(),"Y")</f>
        <v>34</v>
      </c>
      <c r="AG6" s="29">
        <f>WEEKNUM(Table1[[#This Row],[Order Date]])</f>
        <v>2</v>
      </c>
      <c r="AH6" s="29">
        <f>NETWORKDAYS(Table1[[#This Row],[Order Date]],Table1[[#This Row],[Delivery Date]])</f>
        <v>7</v>
      </c>
      <c r="AI6" s="29">
        <f>WEEKDAY(Table1[[#This Row],[Order Date]])</f>
        <v>2</v>
      </c>
      <c r="AJ6" s="31" t="str">
        <f ca="1">IF(Table1[[#This Row],[Order Date]]&lt;TODAY(),"Old Order","New Order")</f>
        <v>Old Order</v>
      </c>
      <c r="AK6" s="29">
        <f ca="1">RANK(Table1[[#This Row],[Sales]],Table1[[#All],[Order ID]:[OrderDate]])</f>
        <v>489</v>
      </c>
      <c r="AL6" s="7">
        <f ca="1">SUM(OFFSET(K6,10,0,COUNTA(Table1[[#All],[Sales]])-1))</f>
        <v>1618830</v>
      </c>
      <c r="AM6" s="30">
        <f t="shared" si="1"/>
        <v>44937</v>
      </c>
      <c r="AN6" s="29" t="str" cm="1">
        <f t="array" ref="AN6">_xlfn.IFS(Table1[[#This Row],[Profit]]&gt;3000,"A",Table1[[#This Row],[Profit]]&gt;1000,"B",Table1[[#This Row],[Profit]]&gt;500,"C",TRUE,"D")</f>
        <v>D</v>
      </c>
      <c r="AO6" s="29">
        <f>SUM($F$2:F6)</f>
        <v>81650</v>
      </c>
      <c r="AP6" s="29">
        <v>1893285</v>
      </c>
      <c r="AQ6" s="29">
        <v>8</v>
      </c>
      <c r="AR6" s="29">
        <v>10</v>
      </c>
      <c r="AS6" s="37">
        <f>PMT(Table1[[#This Row],[Loan Amount]]/12,Table1[[#This Row],[Interest Rate]],-Table1[[#This Row],[Tenure (Months)]])</f>
        <v>1577737.5</v>
      </c>
      <c r="CF6" s="7">
        <f ca="1">LARGE(Table1[[#All],[Order ID]:[Rank]],2)</f>
        <v>75000</v>
      </c>
      <c r="CG6">
        <v>2</v>
      </c>
      <c r="CN6" s="33">
        <v>75000</v>
      </c>
      <c r="CO6" s="33">
        <f>Table1[[#This Row],[Sales]]*0.7</f>
        <v>210</v>
      </c>
      <c r="CP6" s="33">
        <v>1</v>
      </c>
      <c r="CQ6" s="33">
        <v>0.15</v>
      </c>
      <c r="CR6" s="33">
        <f>Table1[[#This Row],[Sales]]-Table1[[#This Row],[Cost]]</f>
        <v>90</v>
      </c>
    </row>
    <row r="7" spans="1:96">
      <c r="A7" s="17">
        <v>1006</v>
      </c>
      <c r="B7" s="2" t="s">
        <v>27</v>
      </c>
      <c r="C7" s="2" t="s">
        <v>15</v>
      </c>
      <c r="D7" s="2" t="s">
        <v>20</v>
      </c>
      <c r="E7" s="2" t="s">
        <v>28</v>
      </c>
      <c r="F7" s="2">
        <v>800</v>
      </c>
      <c r="G7" s="2">
        <f>Table1[[#This Row],[Sales]]*0.7</f>
        <v>560</v>
      </c>
      <c r="H7" s="2">
        <v>2</v>
      </c>
      <c r="I7" s="2">
        <v>0</v>
      </c>
      <c r="J7" s="2">
        <f>Table1[[#This Row],[Sales]]-Table1[[#This Row],[Cost]]</f>
        <v>240</v>
      </c>
      <c r="K7" s="3">
        <v>44937</v>
      </c>
      <c r="L7" s="3">
        <v>44939</v>
      </c>
      <c r="M7" s="4">
        <v>800</v>
      </c>
      <c r="N7" s="27">
        <v>0.1875</v>
      </c>
      <c r="O7" s="4" t="s">
        <v>113</v>
      </c>
      <c r="P7" s="4" t="s">
        <v>125</v>
      </c>
      <c r="Q7" s="4" t="s">
        <v>120</v>
      </c>
      <c r="R7" s="4" t="s">
        <v>116</v>
      </c>
      <c r="S7" s="4" t="s">
        <v>264</v>
      </c>
      <c r="T7" s="18">
        <v>0</v>
      </c>
      <c r="U7" s="29" t="str">
        <f>IF(Table1[[#This Row],[Profit]]&gt;800,"High Profit","Low Profit")</f>
        <v>Low Profit</v>
      </c>
      <c r="V7" s="29" t="str">
        <f>IF(AND(Table1[[#This Row],[Quantity]]&gt;2,Table1[[#This Row],[Discount]]&gt;0.04),"Bulk Deal","Ok Deal")</f>
        <v>Ok Deal</v>
      </c>
      <c r="W7" s="29" t="str">
        <f>IF(OR(Table1[[#This Row],[Region]]="East",Table1[[#This Row],[Region]]="West"),"High Priority Region","Only Region")</f>
        <v>High Priority Region</v>
      </c>
      <c r="X7" s="29" t="str">
        <f>LEFT(Table1[[#This Row],[Product Name]],5)</f>
        <v>Mouse</v>
      </c>
      <c r="Y7" s="29">
        <f>MONTH(Table1[[#This Row],[Order Date]])</f>
        <v>1</v>
      </c>
      <c r="Z7" s="29" t="str">
        <f>RIGHT(Table1[[#This Row],[Customer Name]],LEN(Table1[[#This Row],[Customer Name]])-FIND(" ",Table1[[#This Row],[Customer Name]])) &amp; ",  " &amp; LEFT(Table1[[#This Row],[Customer Name]],FIND(" ",Table1[[#This Row],[Customer Name]])-1)</f>
        <v>White,  Frank</v>
      </c>
      <c r="AA7" s="30">
        <f>Table1[[#This Row],[Order Date]]-10</f>
        <v>44927</v>
      </c>
      <c r="AB7" s="29" t="str">
        <f>TEXT(Table1[[#This Row],[Discount]],"0%")</f>
        <v>0%</v>
      </c>
      <c r="AC7" s="30">
        <f t="shared" si="0"/>
        <v>44947</v>
      </c>
      <c r="AD7" s="29">
        <f>YEAR(Table1[[#This Row],[Order Date]])</f>
        <v>2023</v>
      </c>
      <c r="AE7" s="30">
        <v>34256</v>
      </c>
      <c r="AF7" s="29">
        <f ca="1">DATEDIF(Table1[[#This Row],[Birthdate]],TODAY(),"Y")</f>
        <v>32</v>
      </c>
      <c r="AG7" s="29">
        <f>WEEKNUM(Table1[[#This Row],[Order Date]])</f>
        <v>2</v>
      </c>
      <c r="AH7" s="29">
        <f>NETWORKDAYS(Table1[[#This Row],[Order Date]],Table1[[#This Row],[Delivery Date]])</f>
        <v>3</v>
      </c>
      <c r="AI7" s="29">
        <f>WEEKDAY(Table1[[#This Row],[Order Date]])</f>
        <v>4</v>
      </c>
      <c r="AJ7" s="31" t="str">
        <f ca="1">IF(Table1[[#This Row],[Order Date]]&lt;TODAY(),"Old Order","New Order")</f>
        <v>Old Order</v>
      </c>
      <c r="AK7" s="29">
        <f ca="1">RANK(Table1[[#This Row],[Sales]],Table1[[#All],[Order ID]:[OrderDate]])</f>
        <v>462</v>
      </c>
      <c r="AL7" s="7">
        <f ca="1">SUM(OFFSET(K7,10,0,COUNTA(Table1[[#All],[Sales]])-1))</f>
        <v>1573880</v>
      </c>
      <c r="AM7" s="30">
        <f t="shared" si="1"/>
        <v>44939</v>
      </c>
      <c r="AN7" s="29" t="str" cm="1">
        <f t="array" ref="AN7">_xlfn.IFS(Table1[[#This Row],[Profit]]&gt;3000,"A",Table1[[#This Row],[Profit]]&gt;1000,"B",Table1[[#This Row],[Profit]]&gt;500,"C",TRUE,"D")</f>
        <v>D</v>
      </c>
      <c r="AO7" s="29">
        <f>SUM($F$2:F7)</f>
        <v>82450</v>
      </c>
      <c r="AP7" s="29">
        <v>2451287</v>
      </c>
      <c r="AQ7" s="29">
        <v>11</v>
      </c>
      <c r="AR7" s="29">
        <v>8</v>
      </c>
      <c r="AS7" s="37">
        <f>PMT(Table1[[#This Row],[Loan Amount]]/12,Table1[[#This Row],[Interest Rate]],-Table1[[#This Row],[Tenure (Months)]])</f>
        <v>1634191.3333333333</v>
      </c>
      <c r="AT7" t="s">
        <v>359</v>
      </c>
      <c r="AY7" s="7" t="s">
        <v>373</v>
      </c>
      <c r="BN7" s="7" t="s">
        <v>406</v>
      </c>
      <c r="BX7" s="7" t="s">
        <v>448</v>
      </c>
      <c r="CF7" s="7">
        <f ca="1">LARGE(Table1[[#All],[Order ID]:[Rank]],3)</f>
        <v>63750</v>
      </c>
      <c r="CG7">
        <v>3</v>
      </c>
      <c r="CN7" s="2">
        <v>5000</v>
      </c>
      <c r="CO7" s="33">
        <f>Table1[[#This Row],[Sales]]*0.7</f>
        <v>560</v>
      </c>
      <c r="CP7" s="2">
        <v>1</v>
      </c>
      <c r="CQ7" s="2">
        <v>0</v>
      </c>
      <c r="CR7" s="33">
        <f>Table1[[#This Row],[Sales]]-Table1[[#This Row],[Cost]]</f>
        <v>240</v>
      </c>
    </row>
    <row r="8" spans="1:96">
      <c r="A8" s="17">
        <v>1007</v>
      </c>
      <c r="B8" s="2" t="s">
        <v>29</v>
      </c>
      <c r="C8" s="2" t="s">
        <v>19</v>
      </c>
      <c r="D8" s="2" t="s">
        <v>12</v>
      </c>
      <c r="E8" s="2" t="s">
        <v>30</v>
      </c>
      <c r="F8" s="2">
        <v>2500</v>
      </c>
      <c r="G8" s="2">
        <f>Table1[[#This Row],[Sales]]*0.7</f>
        <v>1750</v>
      </c>
      <c r="H8" s="2">
        <v>1</v>
      </c>
      <c r="I8" s="2">
        <v>0.1</v>
      </c>
      <c r="J8" s="2">
        <f>Table1[[#This Row],[Sales]]-Table1[[#This Row],[Cost]]</f>
        <v>750</v>
      </c>
      <c r="K8" s="3">
        <v>44939</v>
      </c>
      <c r="L8" s="3">
        <v>44945</v>
      </c>
      <c r="M8" s="4">
        <v>2250</v>
      </c>
      <c r="N8" s="27">
        <v>0.16</v>
      </c>
      <c r="O8" s="4" t="s">
        <v>113</v>
      </c>
      <c r="P8" s="4" t="s">
        <v>126</v>
      </c>
      <c r="Q8" s="4" t="s">
        <v>115</v>
      </c>
      <c r="R8" s="4" t="s">
        <v>116</v>
      </c>
      <c r="S8" s="4" t="s">
        <v>265</v>
      </c>
      <c r="T8" s="18">
        <v>250</v>
      </c>
      <c r="U8" s="29" t="str">
        <f>IF(Table1[[#This Row],[Profit]]&gt;800,"High Profit","Low Profit")</f>
        <v>Low Profit</v>
      </c>
      <c r="V8" s="29" t="str">
        <f>IF(AND(Table1[[#This Row],[Quantity]]&gt;2,Table1[[#This Row],[Discount]]&gt;0.04),"Bulk Deal","Ok Deal")</f>
        <v>Ok Deal</v>
      </c>
      <c r="W8" s="29" t="str">
        <f>IF(OR(Table1[[#This Row],[Region]]="East",Table1[[#This Row],[Region]]="West"),"High Priority Region","Only Region")</f>
        <v>Only Region</v>
      </c>
      <c r="X8" s="29" t="str">
        <f>LEFT(Table1[[#This Row],[Product Name]],5)</f>
        <v>Cabin</v>
      </c>
      <c r="Y8" s="29">
        <f>MONTH(Table1[[#This Row],[Order Date]])</f>
        <v>1</v>
      </c>
      <c r="Z8" s="29" t="str">
        <f>RIGHT(Table1[[#This Row],[Customer Name]],LEN(Table1[[#This Row],[Customer Name]])-FIND(" ",Table1[[#This Row],[Customer Name]])) &amp; ",  " &amp; LEFT(Table1[[#This Row],[Customer Name]],FIND(" ",Table1[[#This Row],[Customer Name]])-1)</f>
        <v>Hall,  Grace</v>
      </c>
      <c r="AA8" s="30">
        <f>Table1[[#This Row],[Order Date]]-10</f>
        <v>44929</v>
      </c>
      <c r="AB8" s="29" t="str">
        <f>TEXT(Table1[[#This Row],[Discount]],"0%")</f>
        <v>10%</v>
      </c>
      <c r="AC8" s="30">
        <f t="shared" si="0"/>
        <v>44949</v>
      </c>
      <c r="AD8" s="29">
        <f>YEAR(Table1[[#This Row],[Order Date]])</f>
        <v>2023</v>
      </c>
      <c r="AE8" s="30">
        <v>32065</v>
      </c>
      <c r="AF8" s="29">
        <f ca="1">DATEDIF(Table1[[#This Row],[Birthdate]],TODAY(),"Y")</f>
        <v>38</v>
      </c>
      <c r="AG8" s="29">
        <f>WEEKNUM(Table1[[#This Row],[Order Date]])</f>
        <v>2</v>
      </c>
      <c r="AH8" s="29">
        <f>NETWORKDAYS(Table1[[#This Row],[Order Date]],Table1[[#This Row],[Delivery Date]])</f>
        <v>5</v>
      </c>
      <c r="AI8" s="29">
        <f>WEEKDAY(Table1[[#This Row],[Order Date]])</f>
        <v>6</v>
      </c>
      <c r="AJ8" s="31" t="str">
        <f ca="1">IF(Table1[[#This Row],[Order Date]]&lt;TODAY(),"Old Order","New Order")</f>
        <v>Old Order</v>
      </c>
      <c r="AK8" s="29">
        <f ca="1">RANK(Table1[[#This Row],[Sales]],Table1[[#All],[Order ID]:[OrderDate]])</f>
        <v>321</v>
      </c>
      <c r="AL8" s="7">
        <f ca="1">SUM(OFFSET(K8,10,0,COUNTA(Table1[[#All],[Sales]])-1))</f>
        <v>1528929</v>
      </c>
      <c r="AM8" s="30">
        <f t="shared" si="1"/>
        <v>44941</v>
      </c>
      <c r="AN8" s="29" t="str" cm="1">
        <f t="array" ref="AN8">_xlfn.IFS(Table1[[#This Row],[Profit]]&gt;3000,"A",Table1[[#This Row],[Profit]]&gt;1000,"B",Table1[[#This Row],[Profit]]&gt;500,"C",TRUE,"D")</f>
        <v>C</v>
      </c>
      <c r="AO8" s="29">
        <f>SUM($F$2:F8)</f>
        <v>84950</v>
      </c>
      <c r="AP8" s="29">
        <v>1520300</v>
      </c>
      <c r="AQ8" s="29">
        <v>12</v>
      </c>
      <c r="AR8" s="29">
        <v>12</v>
      </c>
      <c r="AS8" s="37">
        <f>PMT(Table1[[#This Row],[Loan Amount]]/12,Table1[[#This Row],[Interest Rate]],-Table1[[#This Row],[Tenure (Months)]])</f>
        <v>1520300</v>
      </c>
      <c r="AT8">
        <f>MAX(Table1[[#All],[Sales]])</f>
        <v>75000</v>
      </c>
      <c r="AY8" t="s">
        <v>385</v>
      </c>
      <c r="BN8" s="7">
        <f>VLOOKUP(A2,Table1[#All],9,0)</f>
        <v>0.1</v>
      </c>
      <c r="BO8" t="s">
        <v>412</v>
      </c>
      <c r="BX8" s="10" t="s">
        <v>439</v>
      </c>
      <c r="CF8" s="7">
        <f ca="1">LARGE(Table1[[#All],[Order ID]:[Rank]],4)</f>
        <v>63750</v>
      </c>
      <c r="CG8">
        <v>4</v>
      </c>
      <c r="CN8" s="33">
        <v>300</v>
      </c>
      <c r="CO8" s="33">
        <f>Table1[[#This Row],[Sales]]*0.7</f>
        <v>1750</v>
      </c>
      <c r="CP8" s="33">
        <v>3</v>
      </c>
      <c r="CQ8" s="33">
        <v>0.05</v>
      </c>
      <c r="CR8" s="33">
        <f>Table1[[#This Row],[Sales]]-Table1[[#This Row],[Cost]]</f>
        <v>750</v>
      </c>
    </row>
    <row r="9" spans="1:96">
      <c r="A9" s="17">
        <v>1008</v>
      </c>
      <c r="B9" s="2" t="s">
        <v>31</v>
      </c>
      <c r="C9" s="2" t="s">
        <v>23</v>
      </c>
      <c r="D9" s="2" t="s">
        <v>16</v>
      </c>
      <c r="E9" s="2" t="s">
        <v>32</v>
      </c>
      <c r="F9" s="2">
        <v>200</v>
      </c>
      <c r="G9" s="2">
        <f>Table1[[#This Row],[Sales]]*0.7</f>
        <v>140</v>
      </c>
      <c r="H9" s="2">
        <v>4</v>
      </c>
      <c r="I9" s="2">
        <v>0</v>
      </c>
      <c r="J9" s="2">
        <f>Table1[[#This Row],[Sales]]-Table1[[#This Row],[Cost]]</f>
        <v>60</v>
      </c>
      <c r="K9" s="3">
        <v>44941</v>
      </c>
      <c r="L9" s="3">
        <v>44942</v>
      </c>
      <c r="M9" s="4">
        <v>200</v>
      </c>
      <c r="N9" s="27">
        <v>0.2</v>
      </c>
      <c r="O9" s="4" t="s">
        <v>113</v>
      </c>
      <c r="P9" s="4" t="s">
        <v>114</v>
      </c>
      <c r="Q9" s="4" t="s">
        <v>118</v>
      </c>
      <c r="R9" s="4" t="s">
        <v>116</v>
      </c>
      <c r="S9" s="4" t="s">
        <v>264</v>
      </c>
      <c r="T9" s="18">
        <v>0</v>
      </c>
      <c r="U9" s="29" t="str">
        <f>IF(Table1[[#This Row],[Profit]]&gt;800,"High Profit","Low Profit")</f>
        <v>Low Profit</v>
      </c>
      <c r="V9" s="29" t="str">
        <f>IF(AND(Table1[[#This Row],[Quantity]]&gt;2,Table1[[#This Row],[Discount]]&gt;0.04),"Bulk Deal","Ok Deal")</f>
        <v>Ok Deal</v>
      </c>
      <c r="W9" s="29" t="str">
        <f>IF(OR(Table1[[#This Row],[Region]]="East",Table1[[#This Row],[Region]]="West"),"High Priority Region","Only Region")</f>
        <v>Only Region</v>
      </c>
      <c r="X9" s="29" t="str">
        <f>LEFT(Table1[[#This Row],[Product Name]],5)</f>
        <v>Noteb</v>
      </c>
      <c r="Y9" s="29">
        <f>MONTH(Table1[[#This Row],[Order Date]])</f>
        <v>1</v>
      </c>
      <c r="Z9" s="29" t="str">
        <f>RIGHT(Table1[[#This Row],[Customer Name]],LEN(Table1[[#This Row],[Customer Name]])-FIND(" ",Table1[[#This Row],[Customer Name]])) &amp; ",  " &amp; LEFT(Table1[[#This Row],[Customer Name]],FIND(" ",Table1[[#This Row],[Customer Name]])-1)</f>
        <v>King,  Henry</v>
      </c>
      <c r="AA9" s="30">
        <f>Table1[[#This Row],[Order Date]]-10</f>
        <v>44931</v>
      </c>
      <c r="AB9" s="29" t="str">
        <f>TEXT(Table1[[#This Row],[Discount]],"0%")</f>
        <v>0%</v>
      </c>
      <c r="AC9" s="30">
        <f t="shared" si="0"/>
        <v>44951</v>
      </c>
      <c r="AD9" s="29">
        <f>YEAR(Table1[[#This Row],[Order Date]])</f>
        <v>2023</v>
      </c>
      <c r="AE9" s="30">
        <v>36566</v>
      </c>
      <c r="AF9" s="29">
        <f ca="1">DATEDIF(Table1[[#This Row],[Birthdate]],TODAY(),"Y")</f>
        <v>25</v>
      </c>
      <c r="AG9" s="29">
        <f>WEEKNUM(Table1[[#This Row],[Order Date]])</f>
        <v>3</v>
      </c>
      <c r="AH9" s="29">
        <f>NETWORKDAYS(Table1[[#This Row],[Order Date]],Table1[[#This Row],[Delivery Date]])</f>
        <v>1</v>
      </c>
      <c r="AI9" s="29">
        <f>WEEKDAY(Table1[[#This Row],[Order Date]])</f>
        <v>1</v>
      </c>
      <c r="AJ9" s="31" t="str">
        <f ca="1">IF(Table1[[#This Row],[Order Date]]&lt;TODAY(),"Old Order","New Order")</f>
        <v>Old Order</v>
      </c>
      <c r="AK9" s="29">
        <f ca="1">RANK(Table1[[#This Row],[Sales]],Table1[[#All],[Order ID]:[OrderDate]])</f>
        <v>506</v>
      </c>
      <c r="AL9" s="7">
        <f ca="1">SUM(OFFSET(K9,10,0,COUNTA(Table1[[#All],[Sales]])-1))</f>
        <v>1483977</v>
      </c>
      <c r="AM9" s="30">
        <f t="shared" si="1"/>
        <v>44943</v>
      </c>
      <c r="AN9" s="29" t="str" cm="1">
        <f t="array" ref="AN9">_xlfn.IFS(Table1[[#This Row],[Profit]]&gt;3000,"A",Table1[[#This Row],[Profit]]&gt;1000,"B",Table1[[#This Row],[Profit]]&gt;500,"C",TRUE,"D")</f>
        <v>D</v>
      </c>
      <c r="AO9" s="29">
        <f>SUM($F$2:F9)</f>
        <v>85150</v>
      </c>
      <c r="AP9" s="29">
        <v>2319065</v>
      </c>
      <c r="AQ9" s="29">
        <v>12</v>
      </c>
      <c r="AR9" s="29">
        <v>12</v>
      </c>
      <c r="AS9" s="37">
        <f>PMT(Table1[[#This Row],[Loan Amount]]/12,Table1[[#This Row],[Interest Rate]],-Table1[[#This Row],[Tenure (Months)]])</f>
        <v>2319065</v>
      </c>
      <c r="CF9" s="7">
        <f ca="1">LARGE(Table1[[#All],[Order ID]:[Rank]],5)</f>
        <v>52500</v>
      </c>
      <c r="CG9">
        <v>5</v>
      </c>
      <c r="CN9" s="2">
        <v>800</v>
      </c>
      <c r="CO9" s="33">
        <f>Table1[[#This Row],[Sales]]*0.7</f>
        <v>140</v>
      </c>
      <c r="CP9" s="2">
        <v>2</v>
      </c>
      <c r="CQ9" s="2">
        <v>0</v>
      </c>
      <c r="CR9" s="33">
        <f>Table1[[#This Row],[Sales]]-Table1[[#This Row],[Cost]]</f>
        <v>60</v>
      </c>
    </row>
    <row r="10" spans="1:96">
      <c r="A10" s="17">
        <v>1009</v>
      </c>
      <c r="B10" s="2" t="s">
        <v>33</v>
      </c>
      <c r="C10" s="2" t="s">
        <v>11</v>
      </c>
      <c r="D10" s="2" t="s">
        <v>20</v>
      </c>
      <c r="E10" s="2" t="s">
        <v>34</v>
      </c>
      <c r="F10" s="2">
        <v>12000</v>
      </c>
      <c r="G10" s="2">
        <f>Table1[[#This Row],[Sales]]*0.7</f>
        <v>8400</v>
      </c>
      <c r="H10" s="2">
        <v>1</v>
      </c>
      <c r="I10" s="2">
        <v>0.1</v>
      </c>
      <c r="J10" s="2">
        <f>Table1[[#This Row],[Sales]]-Table1[[#This Row],[Cost]]</f>
        <v>3600</v>
      </c>
      <c r="K10" s="3">
        <v>44943</v>
      </c>
      <c r="L10" s="3">
        <v>44953</v>
      </c>
      <c r="M10" s="4">
        <v>10800</v>
      </c>
      <c r="N10" s="27">
        <v>0.125</v>
      </c>
      <c r="O10" s="4" t="s">
        <v>113</v>
      </c>
      <c r="P10" s="4" t="s">
        <v>117</v>
      </c>
      <c r="Q10" s="4" t="s">
        <v>120</v>
      </c>
      <c r="R10" s="4" t="s">
        <v>121</v>
      </c>
      <c r="S10" s="4" t="s">
        <v>265</v>
      </c>
      <c r="T10" s="18">
        <v>1200</v>
      </c>
      <c r="U10" s="29" t="str">
        <f>IF(Table1[[#This Row],[Profit]]&gt;800,"High Profit","Low Profit")</f>
        <v>High Profit</v>
      </c>
      <c r="V10" s="29" t="str">
        <f>IF(AND(Table1[[#This Row],[Quantity]]&gt;2,Table1[[#This Row],[Discount]]&gt;0.04),"Bulk Deal","Ok Deal")</f>
        <v>Ok Deal</v>
      </c>
      <c r="W10" s="29" t="str">
        <f>IF(OR(Table1[[#This Row],[Region]]="East",Table1[[#This Row],[Region]]="West"),"High Priority Region","Only Region")</f>
        <v>High Priority Region</v>
      </c>
      <c r="X10" s="29" t="str">
        <f>LEFT(Table1[[#This Row],[Product Name]],5)</f>
        <v>Print</v>
      </c>
      <c r="Y10" s="29">
        <f>MONTH(Table1[[#This Row],[Order Date]])</f>
        <v>1</v>
      </c>
      <c r="Z10" s="29" t="str">
        <f>RIGHT(Table1[[#This Row],[Customer Name]],LEN(Table1[[#This Row],[Customer Name]])-FIND(" ",Table1[[#This Row],[Customer Name]])) &amp; ",  " &amp; LEFT(Table1[[#This Row],[Customer Name]],FIND(" ",Table1[[#This Row],[Customer Name]])-1)</f>
        <v>Scott,  Ivy</v>
      </c>
      <c r="AA10" s="30">
        <f>Table1[[#This Row],[Order Date]]-10</f>
        <v>44933</v>
      </c>
      <c r="AB10" s="29" t="str">
        <f>TEXT(Table1[[#This Row],[Discount]],"0%")</f>
        <v>10%</v>
      </c>
      <c r="AC10" s="30">
        <f t="shared" si="0"/>
        <v>44953</v>
      </c>
      <c r="AD10" s="29">
        <f>YEAR(Table1[[#This Row],[Order Date]])</f>
        <v>2023</v>
      </c>
      <c r="AE10" s="30">
        <v>32082</v>
      </c>
      <c r="AF10" s="29">
        <f ca="1">DATEDIF(Table1[[#This Row],[Birthdate]],TODAY(),"Y")</f>
        <v>38</v>
      </c>
      <c r="AG10" s="29">
        <f>WEEKNUM(Table1[[#This Row],[Order Date]])</f>
        <v>3</v>
      </c>
      <c r="AH10" s="29">
        <f>NETWORKDAYS(Table1[[#This Row],[Order Date]],Table1[[#This Row],[Delivery Date]])</f>
        <v>9</v>
      </c>
      <c r="AI10" s="29">
        <f>WEEKDAY(Table1[[#This Row],[Order Date]])</f>
        <v>3</v>
      </c>
      <c r="AJ10" s="31" t="str">
        <f ca="1">IF(Table1[[#This Row],[Order Date]]&lt;TODAY(),"Old Order","New Order")</f>
        <v>Old Order</v>
      </c>
      <c r="AK10" s="29">
        <f ca="1">RANK(Table1[[#This Row],[Sales]],Table1[[#All],[Order ID]:[OrderDate]])</f>
        <v>262</v>
      </c>
      <c r="AL10" s="7">
        <f ca="1">SUM(OFFSET(K10,10,0,COUNTA(Table1[[#All],[Sales]])-1))</f>
        <v>1439024</v>
      </c>
      <c r="AM10" s="30">
        <f t="shared" si="1"/>
        <v>44944.666666666664</v>
      </c>
      <c r="AN10" s="29" t="str" cm="1">
        <f t="array" ref="AN10">_xlfn.IFS(Table1[[#This Row],[Profit]]&gt;3000,"A",Table1[[#This Row],[Profit]]&gt;1000,"B",Table1[[#This Row],[Profit]]&gt;500,"C",TRUE,"D")</f>
        <v>A</v>
      </c>
      <c r="AO10" s="29">
        <f>SUM($F$2:F10)</f>
        <v>97150</v>
      </c>
      <c r="AP10" s="29">
        <v>2355476</v>
      </c>
      <c r="AQ10" s="29">
        <v>10</v>
      </c>
      <c r="AR10" s="29">
        <v>5</v>
      </c>
      <c r="AS10" s="37">
        <f>PMT(Table1[[#This Row],[Loan Amount]]/12,Table1[[#This Row],[Interest Rate]],-Table1[[#This Row],[Tenure (Months)]])</f>
        <v>981448.33333333326</v>
      </c>
      <c r="AT10" t="s">
        <v>360</v>
      </c>
      <c r="AY10" s="7" t="s">
        <v>374</v>
      </c>
      <c r="BN10" s="7" t="s">
        <v>407</v>
      </c>
      <c r="BX10" s="7" t="s">
        <v>449</v>
      </c>
      <c r="CN10" s="33">
        <v>2500</v>
      </c>
      <c r="CO10" s="33">
        <f>Table1[[#This Row],[Sales]]*0.7</f>
        <v>8400</v>
      </c>
      <c r="CP10" s="33">
        <v>1</v>
      </c>
      <c r="CQ10" s="33">
        <v>0.1</v>
      </c>
      <c r="CR10" s="33">
        <f>Table1[[#This Row],[Sales]]-Table1[[#This Row],[Cost]]</f>
        <v>3600</v>
      </c>
    </row>
    <row r="11" spans="1:96">
      <c r="A11" s="17">
        <v>1010</v>
      </c>
      <c r="B11" s="2" t="s">
        <v>35</v>
      </c>
      <c r="C11" s="2" t="s">
        <v>15</v>
      </c>
      <c r="D11" s="2" t="s">
        <v>12</v>
      </c>
      <c r="E11" s="2" t="s">
        <v>36</v>
      </c>
      <c r="F11" s="2">
        <v>15000</v>
      </c>
      <c r="G11" s="2">
        <f>Table1[[#This Row],[Sales]]*0.7</f>
        <v>10500</v>
      </c>
      <c r="H11" s="2">
        <v>1</v>
      </c>
      <c r="I11" s="2">
        <v>0.2</v>
      </c>
      <c r="J11" s="2">
        <f>Table1[[#This Row],[Sales]]-Table1[[#This Row],[Cost]]</f>
        <v>4500</v>
      </c>
      <c r="K11" s="3">
        <v>44945</v>
      </c>
      <c r="L11" s="3">
        <v>44953</v>
      </c>
      <c r="M11" s="4">
        <v>12000</v>
      </c>
      <c r="N11" s="27">
        <v>0.16666666666666666</v>
      </c>
      <c r="O11" s="4" t="s">
        <v>113</v>
      </c>
      <c r="P11" s="4" t="s">
        <v>119</v>
      </c>
      <c r="Q11" s="4" t="s">
        <v>115</v>
      </c>
      <c r="R11" s="4" t="s">
        <v>121</v>
      </c>
      <c r="S11" s="4" t="s">
        <v>265</v>
      </c>
      <c r="T11" s="18">
        <v>3000</v>
      </c>
      <c r="U11" s="29" t="str">
        <f>IF(Table1[[#This Row],[Profit]]&gt;800,"High Profit","Low Profit")</f>
        <v>High Profit</v>
      </c>
      <c r="V11" s="29" t="str">
        <f>IF(AND(Table1[[#This Row],[Quantity]]&gt;2,Table1[[#This Row],[Discount]]&gt;0.04),"Bulk Deal","Ok Deal")</f>
        <v>Ok Deal</v>
      </c>
      <c r="W11" s="29" t="str">
        <f>IF(OR(Table1[[#This Row],[Region]]="East",Table1[[#This Row],[Region]]="West"),"High Priority Region","Only Region")</f>
        <v>High Priority Region</v>
      </c>
      <c r="X11" s="29" t="str">
        <f>LEFT(Table1[[#This Row],[Product Name]],5)</f>
        <v>Sofa</v>
      </c>
      <c r="Y11" s="29">
        <f>MONTH(Table1[[#This Row],[Order Date]])</f>
        <v>1</v>
      </c>
      <c r="Z11" s="29" t="str">
        <f>RIGHT(Table1[[#This Row],[Customer Name]],LEN(Table1[[#This Row],[Customer Name]])-FIND(" ",Table1[[#This Row],[Customer Name]])) &amp; ",  " &amp; LEFT(Table1[[#This Row],[Customer Name]],FIND(" ",Table1[[#This Row],[Customer Name]])-1)</f>
        <v>Turner,  Jack</v>
      </c>
      <c r="AA11" s="30">
        <f>Table1[[#This Row],[Order Date]]-10</f>
        <v>44935</v>
      </c>
      <c r="AB11" s="29" t="str">
        <f>TEXT(Table1[[#This Row],[Discount]],"0%")</f>
        <v>20%</v>
      </c>
      <c r="AC11" s="30">
        <f t="shared" si="0"/>
        <v>44955</v>
      </c>
      <c r="AD11" s="29">
        <f>YEAR(Table1[[#This Row],[Order Date]])</f>
        <v>2023</v>
      </c>
      <c r="AE11" s="30">
        <v>36619</v>
      </c>
      <c r="AF11" s="29">
        <f ca="1">DATEDIF(Table1[[#This Row],[Birthdate]],TODAY(),"Y")</f>
        <v>25</v>
      </c>
      <c r="AG11" s="29">
        <f>WEEKNUM(Table1[[#This Row],[Order Date]])</f>
        <v>3</v>
      </c>
      <c r="AH11" s="29">
        <f>NETWORKDAYS(Table1[[#This Row],[Order Date]],Table1[[#This Row],[Delivery Date]])</f>
        <v>7</v>
      </c>
      <c r="AI11" s="29">
        <f>WEEKDAY(Table1[[#This Row],[Order Date]])</f>
        <v>5</v>
      </c>
      <c r="AJ11" s="31" t="str">
        <f ca="1">IF(Table1[[#This Row],[Order Date]]&lt;TODAY(),"Old Order","New Order")</f>
        <v>Old Order</v>
      </c>
      <c r="AK11" s="29">
        <f ca="1">RANK(Table1[[#This Row],[Sales]],Table1[[#All],[Order ID]:[OrderDate]])</f>
        <v>259</v>
      </c>
      <c r="AL11" s="7">
        <f ca="1">SUM(OFFSET(K11,10,0,COUNTA(Table1[[#All],[Sales]])-1))</f>
        <v>1394070</v>
      </c>
      <c r="AM11" s="30">
        <f t="shared" si="1"/>
        <v>44946</v>
      </c>
      <c r="AN11" s="29" t="str" cm="1">
        <f t="array" ref="AN11">_xlfn.IFS(Table1[[#This Row],[Profit]]&gt;3000,"A",Table1[[#This Row],[Profit]]&gt;1000,"B",Table1[[#This Row],[Profit]]&gt;500,"C",TRUE,"D")</f>
        <v>A</v>
      </c>
      <c r="AO11" s="29">
        <f>SUM($F$2:F11)</f>
        <v>112150</v>
      </c>
      <c r="AP11" s="29">
        <v>1921952</v>
      </c>
      <c r="AQ11" s="29">
        <v>11</v>
      </c>
      <c r="AR11" s="29">
        <v>5</v>
      </c>
      <c r="AS11" s="37">
        <f>PMT(Table1[[#This Row],[Loan Amount]]/12,Table1[[#This Row],[Interest Rate]],-Table1[[#This Row],[Tenure (Months)]])</f>
        <v>800813.33333333326</v>
      </c>
      <c r="AT11">
        <f>MIN(Table1[[#All],[Profit]])</f>
        <v>15</v>
      </c>
      <c r="AY11" t="s">
        <v>387</v>
      </c>
      <c r="BN11" s="7" t="str">
        <f>INDEX(Table1[[#All],[Region]],MATCH(A2,Table1[[#All],[Order ID]],0))</f>
        <v>East</v>
      </c>
      <c r="BO11" t="s">
        <v>413</v>
      </c>
      <c r="BX11" s="7" t="s">
        <v>440</v>
      </c>
      <c r="CF11" s="7" t="s">
        <v>467</v>
      </c>
      <c r="CN11" s="2">
        <v>200</v>
      </c>
      <c r="CO11" s="33">
        <f>Table1[[#This Row],[Sales]]*0.7</f>
        <v>10500</v>
      </c>
      <c r="CP11" s="2">
        <v>4</v>
      </c>
      <c r="CQ11" s="2">
        <v>0</v>
      </c>
      <c r="CR11" s="33">
        <f>Table1[[#This Row],[Sales]]-Table1[[#This Row],[Cost]]</f>
        <v>4500</v>
      </c>
    </row>
    <row r="12" spans="1:96">
      <c r="A12" s="17">
        <v>1011</v>
      </c>
      <c r="B12" s="2" t="s">
        <v>37</v>
      </c>
      <c r="C12" s="2" t="s">
        <v>19</v>
      </c>
      <c r="D12" s="2" t="s">
        <v>16</v>
      </c>
      <c r="E12" s="2" t="s">
        <v>38</v>
      </c>
      <c r="F12" s="2">
        <v>100</v>
      </c>
      <c r="G12" s="2">
        <f>Table1[[#This Row],[Sales]]*0.7</f>
        <v>70</v>
      </c>
      <c r="H12" s="2">
        <v>10</v>
      </c>
      <c r="I12" s="2">
        <v>0</v>
      </c>
      <c r="J12" s="2">
        <f>Table1[[#This Row],[Sales]]-Table1[[#This Row],[Cost]]</f>
        <v>30</v>
      </c>
      <c r="K12" s="3">
        <v>44946</v>
      </c>
      <c r="L12" s="3">
        <v>44953</v>
      </c>
      <c r="M12" s="4">
        <v>100</v>
      </c>
      <c r="N12" s="27">
        <v>0.2</v>
      </c>
      <c r="O12" s="4" t="s">
        <v>113</v>
      </c>
      <c r="P12" s="4" t="s">
        <v>126</v>
      </c>
      <c r="Q12" s="4" t="s">
        <v>118</v>
      </c>
      <c r="R12" s="4" t="s">
        <v>116</v>
      </c>
      <c r="S12" s="4" t="s">
        <v>265</v>
      </c>
      <c r="T12" s="18">
        <v>0</v>
      </c>
      <c r="U12" s="29" t="str">
        <f>IF(Table1[[#This Row],[Profit]]&gt;800,"High Profit","Low Profit")</f>
        <v>Low Profit</v>
      </c>
      <c r="V12" s="29" t="str">
        <f>IF(AND(Table1[[#This Row],[Quantity]]&gt;2,Table1[[#This Row],[Discount]]&gt;0.04),"Bulk Deal","Ok Deal")</f>
        <v>Ok Deal</v>
      </c>
      <c r="W12" s="29" t="str">
        <f>IF(OR(Table1[[#This Row],[Region]]="East",Table1[[#This Row],[Region]]="West"),"High Priority Region","Only Region")</f>
        <v>Only Region</v>
      </c>
      <c r="X12" s="29" t="str">
        <f>LEFT(Table1[[#This Row],[Product Name]],5)</f>
        <v>Paper</v>
      </c>
      <c r="Y12" s="29">
        <f>MONTH(Table1[[#This Row],[Order Date]])</f>
        <v>1</v>
      </c>
      <c r="Z12" s="29" t="str">
        <f>RIGHT(Table1[[#This Row],[Customer Name]],LEN(Table1[[#This Row],[Customer Name]])-FIND(" ",Table1[[#This Row],[Customer Name]])) &amp; ",  " &amp; LEFT(Table1[[#This Row],[Customer Name]],FIND(" ",Table1[[#This Row],[Customer Name]])-1)</f>
        <v>Young,  Karen</v>
      </c>
      <c r="AA12" s="30">
        <f>Table1[[#This Row],[Order Date]]-10</f>
        <v>44936</v>
      </c>
      <c r="AB12" s="29" t="str">
        <f>TEXT(Table1[[#This Row],[Discount]],"0%")</f>
        <v>0%</v>
      </c>
      <c r="AC12" s="30">
        <f t="shared" si="0"/>
        <v>44956</v>
      </c>
      <c r="AD12" s="29">
        <f>YEAR(Table1[[#This Row],[Order Date]])</f>
        <v>2023</v>
      </c>
      <c r="AE12" s="30">
        <v>36906</v>
      </c>
      <c r="AF12" s="29">
        <f ca="1">DATEDIF(Table1[[#This Row],[Birthdate]],TODAY(),"Y")</f>
        <v>25</v>
      </c>
      <c r="AG12" s="29">
        <f>WEEKNUM(Table1[[#This Row],[Order Date]])</f>
        <v>3</v>
      </c>
      <c r="AH12" s="29">
        <f>NETWORKDAYS(Table1[[#This Row],[Order Date]],Table1[[#This Row],[Delivery Date]])</f>
        <v>6</v>
      </c>
      <c r="AI12" s="29">
        <f>WEEKDAY(Table1[[#This Row],[Order Date]])</f>
        <v>6</v>
      </c>
      <c r="AJ12" s="31" t="str">
        <f ca="1">IF(Table1[[#This Row],[Order Date]]&lt;TODAY(),"Old Order","New Order")</f>
        <v>Old Order</v>
      </c>
      <c r="AK12" s="29">
        <f ca="1">RANK(Table1[[#This Row],[Sales]],Table1[[#All],[Order ID]:[OrderDate]])</f>
        <v>537</v>
      </c>
      <c r="AL12" s="7">
        <f ca="1">SUM(OFFSET(K12,10,0,COUNTA(Table1[[#All],[Sales]])-1))</f>
        <v>1349115</v>
      </c>
      <c r="AM12" s="30">
        <f t="shared" si="1"/>
        <v>44947</v>
      </c>
      <c r="AN12" s="29" t="str" cm="1">
        <f t="array" ref="AN12">_xlfn.IFS(Table1[[#This Row],[Profit]]&gt;3000,"A",Table1[[#This Row],[Profit]]&gt;1000,"B",Table1[[#This Row],[Profit]]&gt;500,"C",TRUE,"D")</f>
        <v>D</v>
      </c>
      <c r="AO12" s="29">
        <f>SUM($F$2:F12)</f>
        <v>112250</v>
      </c>
      <c r="AP12" s="29">
        <v>2000350</v>
      </c>
      <c r="AQ12" s="29">
        <v>8</v>
      </c>
      <c r="AR12" s="29">
        <v>6</v>
      </c>
      <c r="AS12" s="37">
        <f>PMT(Table1[[#This Row],[Loan Amount]]/12,Table1[[#This Row],[Interest Rate]],-Table1[[#This Row],[Tenure (Months)]])</f>
        <v>1000175</v>
      </c>
      <c r="CF12" t="s">
        <v>466</v>
      </c>
      <c r="CN12" s="33">
        <v>12000</v>
      </c>
      <c r="CO12" s="33">
        <f>Table1[[#This Row],[Sales]]*0.7</f>
        <v>70</v>
      </c>
      <c r="CP12" s="33">
        <v>1</v>
      </c>
      <c r="CQ12" s="33">
        <v>0.1</v>
      </c>
      <c r="CR12" s="33">
        <f>Table1[[#This Row],[Sales]]-Table1[[#This Row],[Cost]]</f>
        <v>30</v>
      </c>
    </row>
    <row r="13" spans="1:96">
      <c r="A13" s="17">
        <v>1012</v>
      </c>
      <c r="B13" s="2" t="s">
        <v>39</v>
      </c>
      <c r="C13" s="2" t="s">
        <v>23</v>
      </c>
      <c r="D13" s="2" t="s">
        <v>20</v>
      </c>
      <c r="E13" s="2" t="s">
        <v>40</v>
      </c>
      <c r="F13" s="2">
        <v>500</v>
      </c>
      <c r="G13" s="2">
        <f>Table1[[#This Row],[Sales]]*0.7</f>
        <v>350</v>
      </c>
      <c r="H13" s="2">
        <v>2</v>
      </c>
      <c r="I13" s="2">
        <v>0</v>
      </c>
      <c r="J13" s="2">
        <f>Table1[[#This Row],[Sales]]-Table1[[#This Row],[Cost]]</f>
        <v>150</v>
      </c>
      <c r="K13" s="3">
        <v>44947</v>
      </c>
      <c r="L13" s="3">
        <v>44950</v>
      </c>
      <c r="M13" s="4">
        <v>500</v>
      </c>
      <c r="N13" s="27">
        <v>0.16</v>
      </c>
      <c r="O13" s="4" t="s">
        <v>113</v>
      </c>
      <c r="P13" s="4" t="s">
        <v>122</v>
      </c>
      <c r="Q13" s="4" t="s">
        <v>120</v>
      </c>
      <c r="R13" s="4" t="s">
        <v>116</v>
      </c>
      <c r="S13" s="4" t="s">
        <v>264</v>
      </c>
      <c r="T13" s="18">
        <v>0</v>
      </c>
      <c r="U13" s="29" t="str">
        <f>IF(Table1[[#This Row],[Profit]]&gt;800,"High Profit","Low Profit")</f>
        <v>Low Profit</v>
      </c>
      <c r="V13" s="29" t="str">
        <f>IF(AND(Table1[[#This Row],[Quantity]]&gt;2,Table1[[#This Row],[Discount]]&gt;0.04),"Bulk Deal","Ok Deal")</f>
        <v>Ok Deal</v>
      </c>
      <c r="W13" s="29" t="str">
        <f>IF(OR(Table1[[#This Row],[Region]]="East",Table1[[#This Row],[Region]]="West"),"High Priority Region","Only Region")</f>
        <v>Only Region</v>
      </c>
      <c r="X13" s="29" t="str">
        <f>LEFT(Table1[[#This Row],[Product Name]],5)</f>
        <v>Keybo</v>
      </c>
      <c r="Y13" s="29">
        <f>MONTH(Table1[[#This Row],[Order Date]])</f>
        <v>1</v>
      </c>
      <c r="Z13" s="29" t="str">
        <f>RIGHT(Table1[[#This Row],[Customer Name]],LEN(Table1[[#This Row],[Customer Name]])-FIND(" ",Table1[[#This Row],[Customer Name]])) &amp; ",  " &amp; LEFT(Table1[[#This Row],[Customer Name]],FIND(" ",Table1[[#This Row],[Customer Name]])-1)</f>
        <v>Adams,  Liam</v>
      </c>
      <c r="AA13" s="30">
        <f>Table1[[#This Row],[Order Date]]-10</f>
        <v>44937</v>
      </c>
      <c r="AB13" s="29" t="str">
        <f>TEXT(Table1[[#This Row],[Discount]],"0%")</f>
        <v>0%</v>
      </c>
      <c r="AC13" s="30">
        <f t="shared" si="0"/>
        <v>44957</v>
      </c>
      <c r="AD13" s="29">
        <f>YEAR(Table1[[#This Row],[Order Date]])</f>
        <v>2023</v>
      </c>
      <c r="AE13" s="30">
        <v>31875</v>
      </c>
      <c r="AF13" s="29">
        <f ca="1">DATEDIF(Table1[[#This Row],[Birthdate]],TODAY(),"Y")</f>
        <v>38</v>
      </c>
      <c r="AG13" s="29">
        <f>WEEKNUM(Table1[[#This Row],[Order Date]])</f>
        <v>3</v>
      </c>
      <c r="AH13" s="29">
        <f>NETWORKDAYS(Table1[[#This Row],[Order Date]],Table1[[#This Row],[Delivery Date]])</f>
        <v>2</v>
      </c>
      <c r="AI13" s="29">
        <f>WEEKDAY(Table1[[#This Row],[Order Date]])</f>
        <v>7</v>
      </c>
      <c r="AJ13" s="31" t="str">
        <f ca="1">IF(Table1[[#This Row],[Order Date]]&lt;TODAY(),"Old Order","New Order")</f>
        <v>Old Order</v>
      </c>
      <c r="AK13" s="29">
        <f ca="1">RANK(Table1[[#This Row],[Sales]],Table1[[#All],[Order ID]:[OrderDate]])</f>
        <v>479</v>
      </c>
      <c r="AL13" s="7">
        <f ca="1">SUM(OFFSET(K13,10,0,COUNTA(Table1[[#All],[Sales]])-1))</f>
        <v>1304159</v>
      </c>
      <c r="AM13" s="30">
        <f t="shared" si="1"/>
        <v>44948</v>
      </c>
      <c r="AN13" s="29" t="str" cm="1">
        <f t="array" ref="AN13">_xlfn.IFS(Table1[[#This Row],[Profit]]&gt;3000,"A",Table1[[#This Row],[Profit]]&gt;1000,"B",Table1[[#This Row],[Profit]]&gt;500,"C",TRUE,"D")</f>
        <v>D</v>
      </c>
      <c r="AO13" s="29">
        <f>SUM($F$2:F13)</f>
        <v>112750</v>
      </c>
      <c r="AP13" s="29">
        <v>1802551</v>
      </c>
      <c r="AQ13" s="29">
        <v>12</v>
      </c>
      <c r="AR13" s="29">
        <v>11</v>
      </c>
      <c r="AS13" s="37">
        <f>PMT(Table1[[#This Row],[Loan Amount]]/12,Table1[[#This Row],[Interest Rate]],-Table1[[#This Row],[Tenure (Months)]])</f>
        <v>1652338.4166666667</v>
      </c>
      <c r="AT13" t="s">
        <v>361</v>
      </c>
      <c r="AY13" s="7" t="s">
        <v>375</v>
      </c>
      <c r="BN13" s="7" t="s">
        <v>423</v>
      </c>
      <c r="BX13" s="7" t="s">
        <v>450</v>
      </c>
    </row>
    <row r="14" spans="1:96">
      <c r="A14" s="17">
        <v>1013</v>
      </c>
      <c r="B14" s="2" t="s">
        <v>41</v>
      </c>
      <c r="C14" s="2" t="s">
        <v>11</v>
      </c>
      <c r="D14" s="2" t="s">
        <v>12</v>
      </c>
      <c r="E14" s="2" t="s">
        <v>42</v>
      </c>
      <c r="F14" s="2">
        <v>4000</v>
      </c>
      <c r="G14" s="2">
        <f>Table1[[#This Row],[Sales]]*0.7</f>
        <v>2800</v>
      </c>
      <c r="H14" s="2">
        <v>1</v>
      </c>
      <c r="I14" s="2">
        <v>0.05</v>
      </c>
      <c r="J14" s="2">
        <f>Table1[[#This Row],[Sales]]-Table1[[#This Row],[Cost]]</f>
        <v>1200</v>
      </c>
      <c r="K14" s="3">
        <v>44948</v>
      </c>
      <c r="L14" s="3">
        <v>44951</v>
      </c>
      <c r="M14" s="4">
        <v>3800</v>
      </c>
      <c r="N14" s="27">
        <v>0.15</v>
      </c>
      <c r="O14" s="4" t="s">
        <v>113</v>
      </c>
      <c r="P14" s="4" t="s">
        <v>114</v>
      </c>
      <c r="Q14" s="4" t="s">
        <v>115</v>
      </c>
      <c r="R14" s="4" t="s">
        <v>123</v>
      </c>
      <c r="S14" s="4" t="s">
        <v>264</v>
      </c>
      <c r="T14" s="18">
        <v>200</v>
      </c>
      <c r="U14" s="29" t="str">
        <f>IF(Table1[[#This Row],[Profit]]&gt;800,"High Profit","Low Profit")</f>
        <v>High Profit</v>
      </c>
      <c r="V14" s="29" t="str">
        <f>IF(AND(Table1[[#This Row],[Quantity]]&gt;2,Table1[[#This Row],[Discount]]&gt;0.04),"Bulk Deal","Ok Deal")</f>
        <v>Ok Deal</v>
      </c>
      <c r="W14" s="29" t="str">
        <f>IF(OR(Table1[[#This Row],[Region]]="East",Table1[[#This Row],[Region]]="West"),"High Priority Region","Only Region")</f>
        <v>High Priority Region</v>
      </c>
      <c r="X14" s="29" t="str">
        <f>LEFT(Table1[[#This Row],[Product Name]],5)</f>
        <v>Bookc</v>
      </c>
      <c r="Y14" s="29">
        <f>MONTH(Table1[[#This Row],[Order Date]])</f>
        <v>1</v>
      </c>
      <c r="Z14" s="29" t="str">
        <f>RIGHT(Table1[[#This Row],[Customer Name]],LEN(Table1[[#This Row],[Customer Name]])-FIND(" ",Table1[[#This Row],[Customer Name]])) &amp; ",  " &amp; LEFT(Table1[[#This Row],[Customer Name]],FIND(" ",Table1[[#This Row],[Customer Name]])-1)</f>
        <v>Roberts,  Mia</v>
      </c>
      <c r="AA14" s="30">
        <f>Table1[[#This Row],[Order Date]]-10</f>
        <v>44938</v>
      </c>
      <c r="AB14" s="29" t="str">
        <f>TEXT(Table1[[#This Row],[Discount]],"0%")</f>
        <v>5%</v>
      </c>
      <c r="AC14" s="30">
        <f t="shared" si="0"/>
        <v>44958</v>
      </c>
      <c r="AD14" s="29">
        <f>YEAR(Table1[[#This Row],[Order Date]])</f>
        <v>2023</v>
      </c>
      <c r="AE14" s="30">
        <v>33807</v>
      </c>
      <c r="AF14" s="29">
        <f ca="1">DATEDIF(Table1[[#This Row],[Birthdate]],TODAY(),"Y")</f>
        <v>33</v>
      </c>
      <c r="AG14" s="29">
        <f>WEEKNUM(Table1[[#This Row],[Order Date]])</f>
        <v>4</v>
      </c>
      <c r="AH14" s="29">
        <f>NETWORKDAYS(Table1[[#This Row],[Order Date]],Table1[[#This Row],[Delivery Date]])</f>
        <v>3</v>
      </c>
      <c r="AI14" s="29">
        <f>WEEKDAY(Table1[[#This Row],[Order Date]])</f>
        <v>1</v>
      </c>
      <c r="AJ14" s="31" t="str">
        <f ca="1">IF(Table1[[#This Row],[Order Date]]&lt;TODAY(),"Old Order","New Order")</f>
        <v>Old Order</v>
      </c>
      <c r="AK14" s="29">
        <f ca="1">RANK(Table1[[#This Row],[Sales]],Table1[[#All],[Order ID]:[OrderDate]])</f>
        <v>301</v>
      </c>
      <c r="AL14" s="7">
        <f ca="1">SUM(OFFSET(K14,10,0,COUNTA(Table1[[#All],[Sales]])-1))</f>
        <v>1259202</v>
      </c>
      <c r="AM14" s="30">
        <f t="shared" si="1"/>
        <v>44949</v>
      </c>
      <c r="AN14" s="29" t="str" cm="1">
        <f t="array" ref="AN14">_xlfn.IFS(Table1[[#This Row],[Profit]]&gt;3000,"A",Table1[[#This Row],[Profit]]&gt;1000,"B",Table1[[#This Row],[Profit]]&gt;500,"C",TRUE,"D")</f>
        <v>B</v>
      </c>
      <c r="AO14" s="29">
        <f>SUM($F$2:F14)</f>
        <v>116750</v>
      </c>
      <c r="AP14" s="29">
        <v>1720425</v>
      </c>
      <c r="AQ14" s="29">
        <v>12</v>
      </c>
      <c r="AR14" s="29">
        <v>10</v>
      </c>
      <c r="AS14" s="37">
        <f>PMT(Table1[[#This Row],[Loan Amount]]/12,Table1[[#This Row],[Interest Rate]],-Table1[[#This Row],[Tenure (Months)]])</f>
        <v>1433687.5</v>
      </c>
      <c r="AT14" s="26">
        <f>AVERAGE(Table1[[#All],[Discount]])</f>
        <v>5.4000000000000013E-2</v>
      </c>
      <c r="AY14" t="s">
        <v>389</v>
      </c>
      <c r="BN14" s="7" t="str" cm="1">
        <f t="array" ref="BN14">_xlfn.XLOOKUP(A2,Table1[[#All],[Order ID]],Table1[[#All],[Product Name]])</f>
        <v>Chair</v>
      </c>
      <c r="BO14" t="s">
        <v>415</v>
      </c>
      <c r="BX14" s="7" t="s">
        <v>441</v>
      </c>
      <c r="CF14" s="7" t="s">
        <v>473</v>
      </c>
      <c r="CN14" t="s">
        <v>477</v>
      </c>
    </row>
    <row r="15" spans="1:96">
      <c r="A15" s="17">
        <v>1014</v>
      </c>
      <c r="B15" s="2" t="s">
        <v>43</v>
      </c>
      <c r="C15" s="2" t="s">
        <v>15</v>
      </c>
      <c r="D15" s="2" t="s">
        <v>16</v>
      </c>
      <c r="E15" s="2" t="s">
        <v>44</v>
      </c>
      <c r="F15" s="2">
        <v>120</v>
      </c>
      <c r="G15" s="2">
        <f>Table1[[#This Row],[Sales]]*0.7</f>
        <v>84</v>
      </c>
      <c r="H15" s="2">
        <v>3</v>
      </c>
      <c r="I15" s="2">
        <v>0</v>
      </c>
      <c r="J15" s="2">
        <f>Table1[[#This Row],[Sales]]-Table1[[#This Row],[Cost]]</f>
        <v>36</v>
      </c>
      <c r="K15" s="3">
        <v>44949</v>
      </c>
      <c r="L15" s="3">
        <v>44956</v>
      </c>
      <c r="M15" s="4">
        <v>120</v>
      </c>
      <c r="N15" s="27">
        <v>0.20833333333333334</v>
      </c>
      <c r="O15" s="4" t="s">
        <v>113</v>
      </c>
      <c r="P15" s="4" t="s">
        <v>124</v>
      </c>
      <c r="Q15" s="4" t="s">
        <v>118</v>
      </c>
      <c r="R15" s="4" t="s">
        <v>116</v>
      </c>
      <c r="S15" s="4" t="s">
        <v>265</v>
      </c>
      <c r="T15" s="18">
        <v>0</v>
      </c>
      <c r="U15" s="29" t="str">
        <f>IF(Table1[[#This Row],[Profit]]&gt;800,"High Profit","Low Profit")</f>
        <v>Low Profit</v>
      </c>
      <c r="V15" s="29" t="str">
        <f>IF(AND(Table1[[#This Row],[Quantity]]&gt;2,Table1[[#This Row],[Discount]]&gt;0.04),"Bulk Deal","Ok Deal")</f>
        <v>Ok Deal</v>
      </c>
      <c r="W15" s="29" t="str">
        <f>IF(OR(Table1[[#This Row],[Region]]="East",Table1[[#This Row],[Region]]="West"),"High Priority Region","Only Region")</f>
        <v>High Priority Region</v>
      </c>
      <c r="X15" s="29" t="str">
        <f>LEFT(Table1[[#This Row],[Product Name]],5)</f>
        <v>Marke</v>
      </c>
      <c r="Y15" s="29">
        <f>MONTH(Table1[[#This Row],[Order Date]])</f>
        <v>1</v>
      </c>
      <c r="Z15" s="29" t="str">
        <f>RIGHT(Table1[[#This Row],[Customer Name]],LEN(Table1[[#This Row],[Customer Name]])-FIND(" ",Table1[[#This Row],[Customer Name]])) &amp; ",  " &amp; LEFT(Table1[[#This Row],[Customer Name]],FIND(" ",Table1[[#This Row],[Customer Name]])-1)</f>
        <v>Baker,  Noah</v>
      </c>
      <c r="AA15" s="30">
        <f>Table1[[#This Row],[Order Date]]-10</f>
        <v>44939</v>
      </c>
      <c r="AB15" s="29" t="str">
        <f>TEXT(Table1[[#This Row],[Discount]],"0%")</f>
        <v>0%</v>
      </c>
      <c r="AC15" s="30">
        <f t="shared" si="0"/>
        <v>44959</v>
      </c>
      <c r="AD15" s="29">
        <f>YEAR(Table1[[#This Row],[Order Date]])</f>
        <v>2023</v>
      </c>
      <c r="AE15" s="30">
        <v>30499</v>
      </c>
      <c r="AF15" s="29">
        <f ca="1">DATEDIF(Table1[[#This Row],[Birthdate]],TODAY(),"Y")</f>
        <v>42</v>
      </c>
      <c r="AG15" s="29">
        <f>WEEKNUM(Table1[[#This Row],[Order Date]])</f>
        <v>4</v>
      </c>
      <c r="AH15" s="29">
        <f>NETWORKDAYS(Table1[[#This Row],[Order Date]],Table1[[#This Row],[Delivery Date]])</f>
        <v>6</v>
      </c>
      <c r="AI15" s="29">
        <f>WEEKDAY(Table1[[#This Row],[Order Date]])</f>
        <v>2</v>
      </c>
      <c r="AJ15" s="31" t="str">
        <f ca="1">IF(Table1[[#This Row],[Order Date]]&lt;TODAY(),"Old Order","New Order")</f>
        <v>Old Order</v>
      </c>
      <c r="AK15" s="29">
        <f ca="1">RANK(Table1[[#This Row],[Sales]],Table1[[#All],[Order ID]:[OrderDate]])</f>
        <v>528</v>
      </c>
      <c r="AL15" s="7">
        <f ca="1">SUM(OFFSET(K15,10,0,COUNTA(Table1[[#All],[Sales]])-1))</f>
        <v>1214244</v>
      </c>
      <c r="AM15" s="30">
        <f t="shared" si="1"/>
        <v>44950</v>
      </c>
      <c r="AN15" s="29" t="str" cm="1">
        <f t="array" ref="AN15">_xlfn.IFS(Table1[[#This Row],[Profit]]&gt;3000,"A",Table1[[#This Row],[Profit]]&gt;1000,"B",Table1[[#This Row],[Profit]]&gt;500,"C",TRUE,"D")</f>
        <v>D</v>
      </c>
      <c r="AO15" s="29">
        <f>SUM($F$2:F15)</f>
        <v>116870</v>
      </c>
      <c r="AP15" s="29">
        <v>1801671</v>
      </c>
      <c r="AQ15" s="29">
        <v>8</v>
      </c>
      <c r="AR15" s="29">
        <v>12</v>
      </c>
      <c r="AS15" s="37">
        <f>PMT(Table1[[#This Row],[Loan Amount]]/12,Table1[[#This Row],[Interest Rate]],-Table1[[#This Row],[Tenure (Months)]])</f>
        <v>1801671</v>
      </c>
      <c r="CF15" s="7">
        <f ca="1">SUM(OFFSET(K2,10,0,COUNTA(Table1[[#All],[Sales]])-1))</f>
        <v>1798620</v>
      </c>
      <c r="CG15" t="s">
        <v>458</v>
      </c>
      <c r="CP15" t="s">
        <v>478</v>
      </c>
    </row>
    <row r="16" spans="1:96">
      <c r="A16" s="17">
        <v>1015</v>
      </c>
      <c r="B16" s="2" t="s">
        <v>45</v>
      </c>
      <c r="C16" s="2" t="s">
        <v>19</v>
      </c>
      <c r="D16" s="2" t="s">
        <v>20</v>
      </c>
      <c r="E16" s="2" t="s">
        <v>46</v>
      </c>
      <c r="F16" s="2">
        <v>9000</v>
      </c>
      <c r="G16" s="2">
        <f>Table1[[#This Row],[Sales]]*0.7</f>
        <v>6300</v>
      </c>
      <c r="H16" s="2">
        <v>1</v>
      </c>
      <c r="I16" s="2">
        <v>0.1</v>
      </c>
      <c r="J16" s="2">
        <f>Table1[[#This Row],[Sales]]-Table1[[#This Row],[Cost]]</f>
        <v>2700</v>
      </c>
      <c r="K16" s="3">
        <v>44950</v>
      </c>
      <c r="L16" s="3">
        <v>44956</v>
      </c>
      <c r="M16" s="4">
        <v>8100</v>
      </c>
      <c r="N16" s="27">
        <v>0.13333333333333333</v>
      </c>
      <c r="O16" s="4" t="s">
        <v>113</v>
      </c>
      <c r="P16" s="4" t="s">
        <v>117</v>
      </c>
      <c r="Q16" s="4" t="s">
        <v>120</v>
      </c>
      <c r="R16" s="4" t="s">
        <v>123</v>
      </c>
      <c r="S16" s="4" t="s">
        <v>265</v>
      </c>
      <c r="T16" s="18">
        <v>900</v>
      </c>
      <c r="U16" s="29" t="str">
        <f>IF(Table1[[#This Row],[Profit]]&gt;800,"High Profit","Low Profit")</f>
        <v>High Profit</v>
      </c>
      <c r="V16" s="29" t="str">
        <f>IF(AND(Table1[[#This Row],[Quantity]]&gt;2,Table1[[#This Row],[Discount]]&gt;0.04),"Bulk Deal","Ok Deal")</f>
        <v>Ok Deal</v>
      </c>
      <c r="W16" s="29" t="str">
        <f>IF(OR(Table1[[#This Row],[Region]]="East",Table1[[#This Row],[Region]]="West"),"High Priority Region","Only Region")</f>
        <v>Only Region</v>
      </c>
      <c r="X16" s="29" t="str">
        <f>LEFT(Table1[[#This Row],[Product Name]],5)</f>
        <v>Monit</v>
      </c>
      <c r="Y16" s="29">
        <f>MONTH(Table1[[#This Row],[Order Date]])</f>
        <v>1</v>
      </c>
      <c r="Z16" s="29" t="str">
        <f>RIGHT(Table1[[#This Row],[Customer Name]],LEN(Table1[[#This Row],[Customer Name]])-FIND(" ",Table1[[#This Row],[Customer Name]])) &amp; ",  " &amp; LEFT(Table1[[#This Row],[Customer Name]],FIND(" ",Table1[[#This Row],[Customer Name]])-1)</f>
        <v>Lewis,  Olivia</v>
      </c>
      <c r="AA16" s="30">
        <f>Table1[[#This Row],[Order Date]]-10</f>
        <v>44940</v>
      </c>
      <c r="AB16" s="29" t="str">
        <f>TEXT(Table1[[#This Row],[Discount]],"0%")</f>
        <v>10%</v>
      </c>
      <c r="AC16" s="30">
        <f t="shared" si="0"/>
        <v>44960</v>
      </c>
      <c r="AD16" s="29">
        <f>YEAR(Table1[[#This Row],[Order Date]])</f>
        <v>2023</v>
      </c>
      <c r="AE16" s="30">
        <v>34186</v>
      </c>
      <c r="AF16" s="29">
        <f ca="1">DATEDIF(Table1[[#This Row],[Birthdate]],TODAY(),"Y")</f>
        <v>32</v>
      </c>
      <c r="AG16" s="29">
        <f>WEEKNUM(Table1[[#This Row],[Order Date]])</f>
        <v>4</v>
      </c>
      <c r="AH16" s="29">
        <f>NETWORKDAYS(Table1[[#This Row],[Order Date]],Table1[[#This Row],[Delivery Date]])</f>
        <v>5</v>
      </c>
      <c r="AI16" s="29">
        <f>WEEKDAY(Table1[[#This Row],[Order Date]])</f>
        <v>3</v>
      </c>
      <c r="AJ16" s="31" t="str">
        <f ca="1">IF(Table1[[#This Row],[Order Date]]&lt;TODAY(),"Old Order","New Order")</f>
        <v>Old Order</v>
      </c>
      <c r="AK16" s="29">
        <f ca="1">RANK(Table1[[#This Row],[Sales]],Table1[[#All],[Order ID]:[OrderDate]])</f>
        <v>277</v>
      </c>
      <c r="AL16" s="7">
        <f ca="1">SUM(OFFSET(K16,10,0,COUNTA(Table1[[#All],[Sales]])-1))</f>
        <v>1169285</v>
      </c>
      <c r="AM16" s="30">
        <f t="shared" si="1"/>
        <v>44951</v>
      </c>
      <c r="AN16" s="29" t="str" cm="1">
        <f t="array" ref="AN16">_xlfn.IFS(Table1[[#This Row],[Profit]]&gt;3000,"A",Table1[[#This Row],[Profit]]&gt;1000,"B",Table1[[#This Row],[Profit]]&gt;500,"C",TRUE,"D")</f>
        <v>B</v>
      </c>
      <c r="AO16" s="29">
        <f>SUM($F$2:F16)</f>
        <v>125870</v>
      </c>
      <c r="AP16" s="29">
        <v>2198965</v>
      </c>
      <c r="AQ16" s="29">
        <v>8</v>
      </c>
      <c r="AR16" s="29">
        <v>10</v>
      </c>
      <c r="AS16" s="37">
        <f>PMT(Table1[[#This Row],[Loan Amount]]/12,Table1[[#This Row],[Interest Rate]],-Table1[[#This Row],[Tenure (Months)]])</f>
        <v>1832470.8333333335</v>
      </c>
      <c r="AT16" t="s">
        <v>362</v>
      </c>
      <c r="AY16" t="s">
        <v>391</v>
      </c>
      <c r="BN16" s="7" t="s">
        <v>424</v>
      </c>
      <c r="BX16" s="7" t="s">
        <v>451</v>
      </c>
      <c r="CP16" t="s">
        <v>479</v>
      </c>
    </row>
    <row r="17" spans="1:95">
      <c r="A17" s="17">
        <v>1016</v>
      </c>
      <c r="B17" s="2" t="s">
        <v>47</v>
      </c>
      <c r="C17" s="2" t="s">
        <v>23</v>
      </c>
      <c r="D17" s="2" t="s">
        <v>12</v>
      </c>
      <c r="E17" s="2" t="s">
        <v>48</v>
      </c>
      <c r="F17" s="2">
        <v>6000</v>
      </c>
      <c r="G17" s="2">
        <f>Table1[[#This Row],[Sales]]*0.7</f>
        <v>4200</v>
      </c>
      <c r="H17" s="2">
        <v>1</v>
      </c>
      <c r="I17" s="2">
        <v>0.05</v>
      </c>
      <c r="J17" s="2">
        <f>Table1[[#This Row],[Sales]]-Table1[[#This Row],[Cost]]</f>
        <v>1800</v>
      </c>
      <c r="K17" s="3">
        <v>44951</v>
      </c>
      <c r="L17" s="3">
        <v>44952</v>
      </c>
      <c r="M17" s="4">
        <v>5700</v>
      </c>
      <c r="N17" s="27">
        <v>0.16666666666666666</v>
      </c>
      <c r="O17" s="4" t="s">
        <v>113</v>
      </c>
      <c r="P17" s="4" t="s">
        <v>125</v>
      </c>
      <c r="Q17" s="4" t="s">
        <v>115</v>
      </c>
      <c r="R17" s="4" t="s">
        <v>123</v>
      </c>
      <c r="S17" s="4" t="s">
        <v>264</v>
      </c>
      <c r="T17" s="18">
        <v>300</v>
      </c>
      <c r="U17" s="29" t="str">
        <f>IF(Table1[[#This Row],[Profit]]&gt;800,"High Profit","Low Profit")</f>
        <v>High Profit</v>
      </c>
      <c r="V17" s="29" t="str">
        <f>IF(AND(Table1[[#This Row],[Quantity]]&gt;2,Table1[[#This Row],[Discount]]&gt;0.04),"Bulk Deal","Ok Deal")</f>
        <v>Ok Deal</v>
      </c>
      <c r="W17" s="29" t="str">
        <f>IF(OR(Table1[[#This Row],[Region]]="East",Table1[[#This Row],[Region]]="West"),"High Priority Region","Only Region")</f>
        <v>Only Region</v>
      </c>
      <c r="X17" s="29" t="str">
        <f>LEFT(Table1[[#This Row],[Product Name]],5)</f>
        <v>Table</v>
      </c>
      <c r="Y17" s="29">
        <f>MONTH(Table1[[#This Row],[Order Date]])</f>
        <v>1</v>
      </c>
      <c r="Z17" s="29" t="str">
        <f>RIGHT(Table1[[#This Row],[Customer Name]],LEN(Table1[[#This Row],[Customer Name]])-FIND(" ",Table1[[#This Row],[Customer Name]])) &amp; ",  " &amp; LEFT(Table1[[#This Row],[Customer Name]],FIND(" ",Table1[[#This Row],[Customer Name]])-1)</f>
        <v>Walker,  Paul</v>
      </c>
      <c r="AA17" s="30">
        <f>Table1[[#This Row],[Order Date]]-10</f>
        <v>44941</v>
      </c>
      <c r="AB17" s="29" t="str">
        <f>TEXT(Table1[[#This Row],[Discount]],"0%")</f>
        <v>5%</v>
      </c>
      <c r="AC17" s="30">
        <f t="shared" si="0"/>
        <v>44961</v>
      </c>
      <c r="AD17" s="29">
        <f>YEAR(Table1[[#This Row],[Order Date]])</f>
        <v>2023</v>
      </c>
      <c r="AE17" s="30">
        <v>37086</v>
      </c>
      <c r="AF17" s="29">
        <f ca="1">DATEDIF(Table1[[#This Row],[Birthdate]],TODAY(),"Y")</f>
        <v>24</v>
      </c>
      <c r="AG17" s="29">
        <f>WEEKNUM(Table1[[#This Row],[Order Date]])</f>
        <v>4</v>
      </c>
      <c r="AH17" s="29">
        <f>NETWORKDAYS(Table1[[#This Row],[Order Date]],Table1[[#This Row],[Delivery Date]])</f>
        <v>2</v>
      </c>
      <c r="AI17" s="29">
        <f>WEEKDAY(Table1[[#This Row],[Order Date]])</f>
        <v>4</v>
      </c>
      <c r="AJ17" s="31" t="str">
        <f ca="1">IF(Table1[[#This Row],[Order Date]]&lt;TODAY(),"Old Order","New Order")</f>
        <v>Old Order</v>
      </c>
      <c r="AK17" s="29">
        <f ca="1">RANK(Table1[[#This Row],[Sales]],Table1[[#All],[Order ID]:[OrderDate]])</f>
        <v>288</v>
      </c>
      <c r="AL17" s="7">
        <f ca="1">SUM(OFFSET(K17,10,0,COUNTA(Table1[[#All],[Sales]])-1))</f>
        <v>1124325</v>
      </c>
      <c r="AM17" s="30">
        <f t="shared" si="1"/>
        <v>44952</v>
      </c>
      <c r="AN17" s="29" t="str" cm="1">
        <f t="array" ref="AN17">_xlfn.IFS(Table1[[#This Row],[Profit]]&gt;3000,"A",Table1[[#This Row],[Profit]]&gt;1000,"B",Table1[[#This Row],[Profit]]&gt;500,"C",TRUE,"D")</f>
        <v>B</v>
      </c>
      <c r="AO17" s="29">
        <f>SUM($F$2:F17)</f>
        <v>131870</v>
      </c>
      <c r="AP17" s="29">
        <v>1633055</v>
      </c>
      <c r="AQ17" s="29">
        <v>8</v>
      </c>
      <c r="AR17" s="29">
        <v>11</v>
      </c>
      <c r="AS17" s="37">
        <f>PMT(Table1[[#This Row],[Loan Amount]]/12,Table1[[#This Row],[Interest Rate]],-Table1[[#This Row],[Tenure (Months)]])</f>
        <v>1496967.0833333333</v>
      </c>
      <c r="AT17">
        <f>COUNTA(Table1[[#All],[Order ID]])</f>
        <v>51</v>
      </c>
      <c r="AY17" t="s">
        <v>399</v>
      </c>
      <c r="BN17" s="7" cm="1">
        <f t="array" ref="BN17">_xlfn.XLOOKUP(A2,Table1[[#All],[Order ID]],Table1[[#All],[Sales]],,,-1)</f>
        <v>1200</v>
      </c>
      <c r="BO17" t="s">
        <v>416</v>
      </c>
      <c r="BX17">
        <f>SUMIFS(Table1[[#All],[Sales]],Table1[[#All],[Order Month]],O2)</f>
        <v>153500</v>
      </c>
      <c r="BY17" t="s">
        <v>443</v>
      </c>
      <c r="CF17" s="7" t="s">
        <v>468</v>
      </c>
      <c r="CP17" t="s">
        <v>480</v>
      </c>
    </row>
    <row r="18" spans="1:95">
      <c r="A18" s="17">
        <v>1017</v>
      </c>
      <c r="B18" s="2" t="s">
        <v>49</v>
      </c>
      <c r="C18" s="2" t="s">
        <v>11</v>
      </c>
      <c r="D18" s="2" t="s">
        <v>16</v>
      </c>
      <c r="E18" s="2" t="s">
        <v>50</v>
      </c>
      <c r="F18" s="2">
        <v>150</v>
      </c>
      <c r="G18" s="2">
        <f>Table1[[#This Row],[Sales]]*0.7</f>
        <v>105</v>
      </c>
      <c r="H18" s="2">
        <v>5</v>
      </c>
      <c r="I18" s="2">
        <v>0</v>
      </c>
      <c r="J18" s="2">
        <f>Table1[[#This Row],[Sales]]-Table1[[#This Row],[Cost]]</f>
        <v>45</v>
      </c>
      <c r="K18" s="3">
        <v>44952</v>
      </c>
      <c r="L18" s="3">
        <v>44956</v>
      </c>
      <c r="M18" s="4">
        <v>150</v>
      </c>
      <c r="N18" s="27">
        <v>0.13333333333333333</v>
      </c>
      <c r="O18" s="4" t="s">
        <v>113</v>
      </c>
      <c r="P18" s="4" t="s">
        <v>119</v>
      </c>
      <c r="Q18" s="4" t="s">
        <v>118</v>
      </c>
      <c r="R18" s="4" t="s">
        <v>116</v>
      </c>
      <c r="S18" s="4" t="s">
        <v>264</v>
      </c>
      <c r="T18" s="18">
        <v>0</v>
      </c>
      <c r="U18" s="29" t="str">
        <f>IF(Table1[[#This Row],[Profit]]&gt;800,"High Profit","Low Profit")</f>
        <v>Low Profit</v>
      </c>
      <c r="V18" s="29" t="str">
        <f>IF(AND(Table1[[#This Row],[Quantity]]&gt;2,Table1[[#This Row],[Discount]]&gt;0.04),"Bulk Deal","Ok Deal")</f>
        <v>Ok Deal</v>
      </c>
      <c r="W18" s="29" t="str">
        <f>IF(OR(Table1[[#This Row],[Region]]="East",Table1[[#This Row],[Region]]="West"),"High Priority Region","Only Region")</f>
        <v>High Priority Region</v>
      </c>
      <c r="X18" s="29" t="str">
        <f>LEFT(Table1[[#This Row],[Product Name]],5)</f>
        <v>Envel</v>
      </c>
      <c r="Y18" s="29">
        <f>MONTH(Table1[[#This Row],[Order Date]])</f>
        <v>1</v>
      </c>
      <c r="Z18" s="29" t="str">
        <f>RIGHT(Table1[[#This Row],[Customer Name]],LEN(Table1[[#This Row],[Customer Name]])-FIND(" ",Table1[[#This Row],[Customer Name]])) &amp; ",  " &amp; LEFT(Table1[[#This Row],[Customer Name]],FIND(" ",Table1[[#This Row],[Customer Name]])-1)</f>
        <v>Hall,  Quinn</v>
      </c>
      <c r="AA18" s="30">
        <f>Table1[[#This Row],[Order Date]]-10</f>
        <v>44942</v>
      </c>
      <c r="AB18" s="29" t="str">
        <f>TEXT(Table1[[#This Row],[Discount]],"0%")</f>
        <v>0%</v>
      </c>
      <c r="AC18" s="30">
        <f t="shared" si="0"/>
        <v>44962</v>
      </c>
      <c r="AD18" s="29">
        <f>YEAR(Table1[[#This Row],[Order Date]])</f>
        <v>2023</v>
      </c>
      <c r="AE18" s="30">
        <v>29687</v>
      </c>
      <c r="AF18" s="29">
        <f ca="1">DATEDIF(Table1[[#This Row],[Birthdate]],TODAY(),"Y")</f>
        <v>44</v>
      </c>
      <c r="AG18" s="29">
        <f>WEEKNUM(Table1[[#This Row],[Order Date]])</f>
        <v>4</v>
      </c>
      <c r="AH18" s="29">
        <f>NETWORKDAYS(Table1[[#This Row],[Order Date]],Table1[[#This Row],[Delivery Date]])</f>
        <v>3</v>
      </c>
      <c r="AI18" s="29">
        <f>WEEKDAY(Table1[[#This Row],[Order Date]])</f>
        <v>5</v>
      </c>
      <c r="AJ18" s="31" t="str">
        <f ca="1">IF(Table1[[#This Row],[Order Date]]&lt;TODAY(),"Old Order","New Order")</f>
        <v>Old Order</v>
      </c>
      <c r="AK18" s="29">
        <f ca="1">RANK(Table1[[#This Row],[Sales]],Table1[[#All],[Order ID]:[OrderDate]])</f>
        <v>515</v>
      </c>
      <c r="AL18" s="7">
        <f ca="1">SUM(OFFSET(K18,10,0,COUNTA(Table1[[#All],[Sales]])-1))</f>
        <v>1079364</v>
      </c>
      <c r="AM18" s="30">
        <f t="shared" si="1"/>
        <v>44953</v>
      </c>
      <c r="AN18" s="29" t="str" cm="1">
        <f t="array" ref="AN18">_xlfn.IFS(Table1[[#This Row],[Profit]]&gt;3000,"A",Table1[[#This Row],[Profit]]&gt;1000,"B",Table1[[#This Row],[Profit]]&gt;500,"C",TRUE,"D")</f>
        <v>D</v>
      </c>
      <c r="AO18" s="29">
        <f>SUM($F$2:F18)</f>
        <v>132020</v>
      </c>
      <c r="AP18" s="29">
        <v>2010822</v>
      </c>
      <c r="AQ18" s="29">
        <v>8</v>
      </c>
      <c r="AR18" s="29">
        <v>12</v>
      </c>
      <c r="AS18" s="37">
        <f>PMT(Table1[[#This Row],[Loan Amount]]/12,Table1[[#This Row],[Interest Rate]],-Table1[[#This Row],[Tenure (Months)]])</f>
        <v>2010822</v>
      </c>
      <c r="BX18">
        <f>SUMIFS(Table1[[#All],[Sales]],Table1[[#All],[Order Month]],O24)</f>
        <v>161400</v>
      </c>
      <c r="BY18" t="s">
        <v>442</v>
      </c>
      <c r="CF18" s="10" t="s">
        <v>469</v>
      </c>
      <c r="CP18" t="s">
        <v>481</v>
      </c>
    </row>
    <row r="19" spans="1:95">
      <c r="A19" s="17">
        <v>1018</v>
      </c>
      <c r="B19" s="2" t="s">
        <v>51</v>
      </c>
      <c r="C19" s="2" t="s">
        <v>15</v>
      </c>
      <c r="D19" s="2" t="s">
        <v>20</v>
      </c>
      <c r="E19" s="2" t="s">
        <v>52</v>
      </c>
      <c r="F19" s="2">
        <v>800</v>
      </c>
      <c r="G19" s="2">
        <f>Table1[[#This Row],[Sales]]*0.7</f>
        <v>560</v>
      </c>
      <c r="H19" s="2">
        <v>2</v>
      </c>
      <c r="I19" s="2">
        <v>0</v>
      </c>
      <c r="J19" s="2">
        <f>Table1[[#This Row],[Sales]]-Table1[[#This Row],[Cost]]</f>
        <v>240</v>
      </c>
      <c r="K19" s="3">
        <v>44953</v>
      </c>
      <c r="L19" s="3">
        <v>44955</v>
      </c>
      <c r="M19" s="4">
        <v>800</v>
      </c>
      <c r="N19" s="27">
        <v>0.15</v>
      </c>
      <c r="O19" s="4" t="s">
        <v>113</v>
      </c>
      <c r="P19" s="4" t="s">
        <v>126</v>
      </c>
      <c r="Q19" s="4" t="s">
        <v>120</v>
      </c>
      <c r="R19" s="4" t="s">
        <v>116</v>
      </c>
      <c r="S19" s="4" t="s">
        <v>264</v>
      </c>
      <c r="T19" s="18">
        <v>0</v>
      </c>
      <c r="U19" s="29" t="str">
        <f>IF(Table1[[#This Row],[Profit]]&gt;800,"High Profit","Low Profit")</f>
        <v>Low Profit</v>
      </c>
      <c r="V19" s="29" t="str">
        <f>IF(AND(Table1[[#This Row],[Quantity]]&gt;2,Table1[[#This Row],[Discount]]&gt;0.04),"Bulk Deal","Ok Deal")</f>
        <v>Ok Deal</v>
      </c>
      <c r="W19" s="29" t="str">
        <f>IF(OR(Table1[[#This Row],[Region]]="East",Table1[[#This Row],[Region]]="West"),"High Priority Region","Only Region")</f>
        <v>High Priority Region</v>
      </c>
      <c r="X19" s="29" t="str">
        <f>LEFT(Table1[[#This Row],[Product Name]],5)</f>
        <v>Webca</v>
      </c>
      <c r="Y19" s="29">
        <f>MONTH(Table1[[#This Row],[Order Date]])</f>
        <v>1</v>
      </c>
      <c r="Z19" s="29" t="str">
        <f>RIGHT(Table1[[#This Row],[Customer Name]],LEN(Table1[[#This Row],[Customer Name]])-FIND(" ",Table1[[#This Row],[Customer Name]])) &amp; ",  " &amp; LEFT(Table1[[#This Row],[Customer Name]],FIND(" ",Table1[[#This Row],[Customer Name]])-1)</f>
        <v>King,  Rachel</v>
      </c>
      <c r="AA19" s="30">
        <f>Table1[[#This Row],[Order Date]]-10</f>
        <v>44943</v>
      </c>
      <c r="AB19" s="29" t="str">
        <f>TEXT(Table1[[#This Row],[Discount]],"0%")</f>
        <v>0%</v>
      </c>
      <c r="AC19" s="30">
        <f t="shared" si="0"/>
        <v>44963</v>
      </c>
      <c r="AD19" s="29">
        <f>YEAR(Table1[[#This Row],[Order Date]])</f>
        <v>2023</v>
      </c>
      <c r="AE19" s="30">
        <v>31579</v>
      </c>
      <c r="AF19" s="29">
        <f ca="1">DATEDIF(Table1[[#This Row],[Birthdate]],TODAY(),"Y")</f>
        <v>39</v>
      </c>
      <c r="AG19" s="29">
        <f>WEEKNUM(Table1[[#This Row],[Order Date]])</f>
        <v>4</v>
      </c>
      <c r="AH19" s="29">
        <f>NETWORKDAYS(Table1[[#This Row],[Order Date]],Table1[[#This Row],[Delivery Date]])</f>
        <v>1</v>
      </c>
      <c r="AI19" s="29">
        <f>WEEKDAY(Table1[[#This Row],[Order Date]])</f>
        <v>6</v>
      </c>
      <c r="AJ19" s="31" t="str">
        <f ca="1">IF(Table1[[#This Row],[Order Date]]&lt;TODAY(),"Old Order","New Order")</f>
        <v>Old Order</v>
      </c>
      <c r="AK19" s="29">
        <f ca="1">RANK(Table1[[#This Row],[Sales]],Table1[[#All],[Order ID]:[OrderDate]])</f>
        <v>462</v>
      </c>
      <c r="AL19" s="7">
        <f ca="1">SUM(OFFSET(K19,10,0,COUNTA(Table1[[#All],[Sales]])-1))</f>
        <v>1034402</v>
      </c>
      <c r="AM19" s="30">
        <f t="shared" si="1"/>
        <v>44954</v>
      </c>
      <c r="AN19" s="29" t="str" cm="1">
        <f t="array" ref="AN19">_xlfn.IFS(Table1[[#This Row],[Profit]]&gt;3000,"A",Table1[[#This Row],[Profit]]&gt;1000,"B",Table1[[#This Row],[Profit]]&gt;500,"C",TRUE,"D")</f>
        <v>D</v>
      </c>
      <c r="AO19" s="29">
        <f>SUM($F$2:F19)</f>
        <v>132820</v>
      </c>
      <c r="AP19" s="29">
        <v>2247508</v>
      </c>
      <c r="AQ19" s="29">
        <v>9</v>
      </c>
      <c r="AR19" s="29">
        <v>10</v>
      </c>
      <c r="AS19" s="37">
        <f>PMT(Table1[[#This Row],[Loan Amount]]/12,Table1[[#This Row],[Interest Rate]],-Table1[[#This Row],[Tenure (Months)]])</f>
        <v>1872923.3333333335</v>
      </c>
      <c r="AT19" t="s">
        <v>363</v>
      </c>
      <c r="AY19" t="s">
        <v>392</v>
      </c>
      <c r="BN19" s="7" t="s">
        <v>425</v>
      </c>
    </row>
    <row r="20" spans="1:95">
      <c r="A20" s="17">
        <v>1019</v>
      </c>
      <c r="B20" s="2" t="s">
        <v>53</v>
      </c>
      <c r="C20" s="2" t="s">
        <v>19</v>
      </c>
      <c r="D20" s="2" t="s">
        <v>12</v>
      </c>
      <c r="E20" s="2" t="s">
        <v>54</v>
      </c>
      <c r="F20" s="2">
        <v>7000</v>
      </c>
      <c r="G20" s="2">
        <f>Table1[[#This Row],[Sales]]*0.7</f>
        <v>4900</v>
      </c>
      <c r="H20" s="2">
        <v>1</v>
      </c>
      <c r="I20" s="2">
        <v>0.15</v>
      </c>
      <c r="J20" s="2">
        <f>Table1[[#This Row],[Sales]]-Table1[[#This Row],[Cost]]</f>
        <v>2100</v>
      </c>
      <c r="K20" s="3">
        <v>44954</v>
      </c>
      <c r="L20" s="3">
        <v>44964</v>
      </c>
      <c r="M20" s="4">
        <v>5950</v>
      </c>
      <c r="N20" s="27">
        <v>0.17142857142857143</v>
      </c>
      <c r="O20" s="4" t="s">
        <v>113</v>
      </c>
      <c r="P20" s="4" t="s">
        <v>122</v>
      </c>
      <c r="Q20" s="4" t="s">
        <v>115</v>
      </c>
      <c r="R20" s="4" t="s">
        <v>123</v>
      </c>
      <c r="S20" s="4" t="s">
        <v>265</v>
      </c>
      <c r="T20" s="18">
        <v>1050</v>
      </c>
      <c r="U20" s="29" t="str">
        <f>IF(Table1[[#This Row],[Profit]]&gt;800,"High Profit","Low Profit")</f>
        <v>High Profit</v>
      </c>
      <c r="V20" s="29" t="str">
        <f>IF(AND(Table1[[#This Row],[Quantity]]&gt;2,Table1[[#This Row],[Discount]]&gt;0.04),"Bulk Deal","Ok Deal")</f>
        <v>Ok Deal</v>
      </c>
      <c r="W20" s="29" t="str">
        <f>IF(OR(Table1[[#This Row],[Region]]="East",Table1[[#This Row],[Region]]="West"),"High Priority Region","Only Region")</f>
        <v>Only Region</v>
      </c>
      <c r="X20" s="29" t="str">
        <f>LEFT(Table1[[#This Row],[Product Name]],5)</f>
        <v>Recli</v>
      </c>
      <c r="Y20" s="29">
        <f>MONTH(Table1[[#This Row],[Order Date]])</f>
        <v>1</v>
      </c>
      <c r="Z20" s="29" t="str">
        <f>RIGHT(Table1[[#This Row],[Customer Name]],LEN(Table1[[#This Row],[Customer Name]])-FIND(" ",Table1[[#This Row],[Customer Name]])) &amp; ",  " &amp; LEFT(Table1[[#This Row],[Customer Name]],FIND(" ",Table1[[#This Row],[Customer Name]])-1)</f>
        <v>Clark,  Steve</v>
      </c>
      <c r="AA20" s="30">
        <f>Table1[[#This Row],[Order Date]]-10</f>
        <v>44944</v>
      </c>
      <c r="AB20" s="29" t="str">
        <f>TEXT(Table1[[#This Row],[Discount]],"0%")</f>
        <v>15%</v>
      </c>
      <c r="AC20" s="30">
        <f t="shared" si="0"/>
        <v>44964</v>
      </c>
      <c r="AD20" s="29">
        <f>YEAR(Table1[[#This Row],[Order Date]])</f>
        <v>2023</v>
      </c>
      <c r="AE20" s="30">
        <v>32359</v>
      </c>
      <c r="AF20" s="29">
        <f ca="1">DATEDIF(Table1[[#This Row],[Birthdate]],TODAY(),"Y")</f>
        <v>37</v>
      </c>
      <c r="AG20" s="29">
        <f>WEEKNUM(Table1[[#This Row],[Order Date]])</f>
        <v>4</v>
      </c>
      <c r="AH20" s="29">
        <f>NETWORKDAYS(Table1[[#This Row],[Order Date]],Table1[[#This Row],[Delivery Date]])</f>
        <v>7</v>
      </c>
      <c r="AI20" s="29">
        <f>WEEKDAY(Table1[[#This Row],[Order Date]])</f>
        <v>7</v>
      </c>
      <c r="AJ20" s="31" t="str">
        <f ca="1">IF(Table1[[#This Row],[Order Date]]&lt;TODAY(),"Old Order","New Order")</f>
        <v>Old Order</v>
      </c>
      <c r="AK20" s="29">
        <f ca="1">RANK(Table1[[#This Row],[Sales]],Table1[[#All],[Order ID]:[OrderDate]])</f>
        <v>285</v>
      </c>
      <c r="AL20" s="7">
        <f ca="1">SUM(OFFSET(K20,10,0,COUNTA(Table1[[#All],[Sales]])-1))</f>
        <v>989439</v>
      </c>
      <c r="AM20" s="30">
        <f t="shared" si="1"/>
        <v>44955</v>
      </c>
      <c r="AN20" s="29" t="str" cm="1">
        <f t="array" ref="AN20">_xlfn.IFS(Table1[[#This Row],[Profit]]&gt;3000,"A",Table1[[#This Row],[Profit]]&gt;1000,"B",Table1[[#This Row],[Profit]]&gt;500,"C",TRUE,"D")</f>
        <v>B</v>
      </c>
      <c r="AO20" s="29">
        <f>SUM($F$2:F20)</f>
        <v>139820</v>
      </c>
      <c r="AP20" s="29">
        <v>1944135</v>
      </c>
      <c r="AQ20" s="29">
        <v>8</v>
      </c>
      <c r="AR20" s="29">
        <v>8</v>
      </c>
      <c r="AS20" s="37">
        <f>PMT(Table1[[#This Row],[Loan Amount]]/12,Table1[[#This Row],[Interest Rate]],-Table1[[#This Row],[Tenure (Months)]])</f>
        <v>1296090</v>
      </c>
      <c r="AT20">
        <f>COUNTIF(Table1[[#All],[Region]],"East")</f>
        <v>13</v>
      </c>
      <c r="AY20">
        <f>COUNTBLANK(Table1[Sales])</f>
        <v>0</v>
      </c>
      <c r="AZ20" t="s">
        <v>400</v>
      </c>
      <c r="BN20" s="7" t="str" cm="1">
        <f t="array" ref="BN20">_xlfn.IFNA(_xlfn.XLOOKUP(A2,Table1[[#All],[Order ID]],Table1[[#All],[Customer Name]]),"Not Found")</f>
        <v>Alice Smith</v>
      </c>
      <c r="BO20" t="s">
        <v>418</v>
      </c>
      <c r="BX20" s="7" t="s">
        <v>452</v>
      </c>
      <c r="CF20" s="7" t="s">
        <v>472</v>
      </c>
      <c r="CN20" s="7" t="s">
        <v>475</v>
      </c>
      <c r="CQ20" t="s">
        <v>485</v>
      </c>
    </row>
    <row r="21" spans="1:95">
      <c r="A21" s="17">
        <v>1020</v>
      </c>
      <c r="B21" s="2" t="s">
        <v>55</v>
      </c>
      <c r="C21" s="2" t="s">
        <v>23</v>
      </c>
      <c r="D21" s="2" t="s">
        <v>16</v>
      </c>
      <c r="E21" s="2" t="s">
        <v>56</v>
      </c>
      <c r="F21" s="2">
        <v>180</v>
      </c>
      <c r="G21" s="2">
        <f>Table1[[#This Row],[Sales]]*0.7</f>
        <v>125.99999999999999</v>
      </c>
      <c r="H21" s="2">
        <v>4</v>
      </c>
      <c r="I21" s="2">
        <v>0</v>
      </c>
      <c r="J21" s="2">
        <f>Table1[[#This Row],[Sales]]-Table1[[#This Row],[Cost]]</f>
        <v>54.000000000000014</v>
      </c>
      <c r="K21" s="3">
        <v>44955</v>
      </c>
      <c r="L21" s="3">
        <v>44961</v>
      </c>
      <c r="M21" s="4">
        <v>180</v>
      </c>
      <c r="N21" s="27">
        <v>0.16666666666666666</v>
      </c>
      <c r="O21" s="4" t="s">
        <v>113</v>
      </c>
      <c r="P21" s="4" t="s">
        <v>114</v>
      </c>
      <c r="Q21" s="4" t="s">
        <v>118</v>
      </c>
      <c r="R21" s="4" t="s">
        <v>116</v>
      </c>
      <c r="S21" s="4" t="s">
        <v>265</v>
      </c>
      <c r="T21" s="18">
        <v>0</v>
      </c>
      <c r="U21" s="29" t="str">
        <f>IF(Table1[[#This Row],[Profit]]&gt;800,"High Profit","Low Profit")</f>
        <v>Low Profit</v>
      </c>
      <c r="V21" s="29" t="str">
        <f>IF(AND(Table1[[#This Row],[Quantity]]&gt;2,Table1[[#This Row],[Discount]]&gt;0.04),"Bulk Deal","Ok Deal")</f>
        <v>Ok Deal</v>
      </c>
      <c r="W21" s="29" t="str">
        <f>IF(OR(Table1[[#This Row],[Region]]="East",Table1[[#This Row],[Region]]="West"),"High Priority Region","Only Region")</f>
        <v>Only Region</v>
      </c>
      <c r="X21" s="29" t="str">
        <f>LEFT(Table1[[#This Row],[Product Name]],5)</f>
        <v xml:space="preserve">File </v>
      </c>
      <c r="Y21" s="29">
        <f>MONTH(Table1[[#This Row],[Order Date]])</f>
        <v>1</v>
      </c>
      <c r="Z21" s="29" t="str">
        <f>RIGHT(Table1[[#This Row],[Customer Name]],LEN(Table1[[#This Row],[Customer Name]])-FIND(" ",Table1[[#This Row],[Customer Name]])) &amp; ",  " &amp; LEFT(Table1[[#This Row],[Customer Name]],FIND(" ",Table1[[#This Row],[Customer Name]])-1)</f>
        <v>Hall,  Tina</v>
      </c>
      <c r="AA21" s="30">
        <f>Table1[[#This Row],[Order Date]]-10</f>
        <v>44945</v>
      </c>
      <c r="AB21" s="29" t="str">
        <f>TEXT(Table1[[#This Row],[Discount]],"0%")</f>
        <v>0%</v>
      </c>
      <c r="AC21" s="30">
        <f t="shared" si="0"/>
        <v>44965</v>
      </c>
      <c r="AD21" s="29">
        <f>YEAR(Table1[[#This Row],[Order Date]])</f>
        <v>2023</v>
      </c>
      <c r="AE21" s="30">
        <v>34017</v>
      </c>
      <c r="AF21" s="29">
        <f ca="1">DATEDIF(Table1[[#This Row],[Birthdate]],TODAY(),"Y")</f>
        <v>32</v>
      </c>
      <c r="AG21" s="29">
        <f>WEEKNUM(Table1[[#This Row],[Order Date]])</f>
        <v>5</v>
      </c>
      <c r="AH21" s="29">
        <f>NETWORKDAYS(Table1[[#This Row],[Order Date]],Table1[[#This Row],[Delivery Date]])</f>
        <v>5</v>
      </c>
      <c r="AI21" s="29">
        <f>WEEKDAY(Table1[[#This Row],[Order Date]])</f>
        <v>1</v>
      </c>
      <c r="AJ21" s="31" t="str">
        <f ca="1">IF(Table1[[#This Row],[Order Date]]&lt;TODAY(),"Old Order","New Order")</f>
        <v>Old Order</v>
      </c>
      <c r="AK21" s="29">
        <f ca="1">RANK(Table1[[#This Row],[Sales]],Table1[[#All],[Order ID]:[OrderDate]])</f>
        <v>512</v>
      </c>
      <c r="AL21" s="7">
        <f ca="1">SUM(OFFSET(K21,10,0,COUNTA(Table1[[#All],[Sales]])-1))</f>
        <v>944475</v>
      </c>
      <c r="AM21" s="30">
        <f t="shared" si="1"/>
        <v>44956</v>
      </c>
      <c r="AN21" s="29" t="str" cm="1">
        <f t="array" ref="AN21">_xlfn.IFS(Table1[[#This Row],[Profit]]&gt;3000,"A",Table1[[#This Row],[Profit]]&gt;1000,"B",Table1[[#This Row],[Profit]]&gt;500,"C",TRUE,"D")</f>
        <v>D</v>
      </c>
      <c r="AO21" s="29">
        <f>SUM($F$2:F21)</f>
        <v>140000</v>
      </c>
      <c r="AP21" s="29">
        <v>1538219</v>
      </c>
      <c r="AQ21" s="29">
        <v>9</v>
      </c>
      <c r="AR21" s="29">
        <v>6</v>
      </c>
      <c r="AS21" s="37">
        <f>PMT(Table1[[#This Row],[Loan Amount]]/12,Table1[[#This Row],[Interest Rate]],-Table1[[#This Row],[Tenure (Months)]])</f>
        <v>769109.5</v>
      </c>
      <c r="BX21" t="s">
        <v>444</v>
      </c>
      <c r="CF21" s="7" t="s">
        <v>239</v>
      </c>
      <c r="CQ21" t="s">
        <v>486</v>
      </c>
    </row>
    <row r="22" spans="1:95">
      <c r="A22" s="17">
        <v>1021</v>
      </c>
      <c r="B22" s="2" t="s">
        <v>57</v>
      </c>
      <c r="C22" s="2" t="s">
        <v>11</v>
      </c>
      <c r="D22" s="2" t="s">
        <v>20</v>
      </c>
      <c r="E22" s="2" t="s">
        <v>58</v>
      </c>
      <c r="F22" s="2">
        <v>1500</v>
      </c>
      <c r="G22" s="2">
        <f>Table1[[#This Row],[Sales]]*0.7</f>
        <v>1050</v>
      </c>
      <c r="H22" s="2">
        <v>2</v>
      </c>
      <c r="I22" s="2">
        <v>0.05</v>
      </c>
      <c r="J22" s="2">
        <f>Table1[[#This Row],[Sales]]-Table1[[#This Row],[Cost]]</f>
        <v>450</v>
      </c>
      <c r="K22" s="3">
        <v>44956</v>
      </c>
      <c r="L22" s="3">
        <v>44959</v>
      </c>
      <c r="M22" s="4">
        <v>1425</v>
      </c>
      <c r="N22" s="27">
        <v>0.13333333333333333</v>
      </c>
      <c r="O22" s="4" t="s">
        <v>113</v>
      </c>
      <c r="P22" s="4" t="s">
        <v>124</v>
      </c>
      <c r="Q22" s="4" t="s">
        <v>120</v>
      </c>
      <c r="R22" s="4" t="s">
        <v>116</v>
      </c>
      <c r="S22" s="4" t="s">
        <v>264</v>
      </c>
      <c r="T22" s="18">
        <v>75</v>
      </c>
      <c r="U22" s="29" t="str">
        <f>IF(Table1[[#This Row],[Profit]]&gt;800,"High Profit","Low Profit")</f>
        <v>Low Profit</v>
      </c>
      <c r="V22" s="29" t="str">
        <f>IF(AND(Table1[[#This Row],[Quantity]]&gt;2,Table1[[#This Row],[Discount]]&gt;0.04),"Bulk Deal","Ok Deal")</f>
        <v>Ok Deal</v>
      </c>
      <c r="W22" s="29" t="str">
        <f>IF(OR(Table1[[#This Row],[Region]]="East",Table1[[#This Row],[Region]]="West"),"High Priority Region","Only Region")</f>
        <v>High Priority Region</v>
      </c>
      <c r="X22" s="29" t="str">
        <f>LEFT(Table1[[#This Row],[Product Name]],5)</f>
        <v>Headp</v>
      </c>
      <c r="Y22" s="29">
        <f>MONTH(Table1[[#This Row],[Order Date]])</f>
        <v>1</v>
      </c>
      <c r="Z22" s="29" t="str">
        <f>RIGHT(Table1[[#This Row],[Customer Name]],LEN(Table1[[#This Row],[Customer Name]])-FIND(" ",Table1[[#This Row],[Customer Name]])) &amp; ",  " &amp; LEFT(Table1[[#This Row],[Customer Name]],FIND(" ",Table1[[#This Row],[Customer Name]])-1)</f>
        <v>Scott,  Uma</v>
      </c>
      <c r="AA22" s="30">
        <f>Table1[[#This Row],[Order Date]]-10</f>
        <v>44946</v>
      </c>
      <c r="AB22" s="29" t="str">
        <f>TEXT(Table1[[#This Row],[Discount]],"0%")</f>
        <v>5%</v>
      </c>
      <c r="AC22" s="30">
        <f t="shared" si="0"/>
        <v>44966</v>
      </c>
      <c r="AD22" s="29">
        <f>YEAR(Table1[[#This Row],[Order Date]])</f>
        <v>2023</v>
      </c>
      <c r="AE22" s="30">
        <v>34065</v>
      </c>
      <c r="AF22" s="29">
        <f ca="1">DATEDIF(Table1[[#This Row],[Birthdate]],TODAY(),"Y")</f>
        <v>32</v>
      </c>
      <c r="AG22" s="29">
        <f>WEEKNUM(Table1[[#This Row],[Order Date]])</f>
        <v>5</v>
      </c>
      <c r="AH22" s="29">
        <f>NETWORKDAYS(Table1[[#This Row],[Order Date]],Table1[[#This Row],[Delivery Date]])</f>
        <v>4</v>
      </c>
      <c r="AI22" s="29">
        <f>WEEKDAY(Table1[[#This Row],[Order Date]])</f>
        <v>2</v>
      </c>
      <c r="AJ22" s="31" t="str">
        <f ca="1">IF(Table1[[#This Row],[Order Date]]&lt;TODAY(),"Old Order","New Order")</f>
        <v>Old Order</v>
      </c>
      <c r="AK22" s="29">
        <f ca="1">RANK(Table1[[#This Row],[Sales]],Table1[[#All],[Order ID]:[OrderDate]])</f>
        <v>387</v>
      </c>
      <c r="AL22" s="7">
        <f ca="1">SUM(OFFSET(K22,10,0,COUNTA(Table1[[#All],[Sales]])-1))</f>
        <v>899510</v>
      </c>
      <c r="AM22" s="30">
        <f t="shared" si="1"/>
        <v>44957</v>
      </c>
      <c r="AN22" s="29" t="str" cm="1">
        <f t="array" ref="AN22">_xlfn.IFS(Table1[[#This Row],[Profit]]&gt;3000,"A",Table1[[#This Row],[Profit]]&gt;1000,"B",Table1[[#This Row],[Profit]]&gt;500,"C",TRUE,"D")</f>
        <v>D</v>
      </c>
      <c r="AO22" s="29">
        <f>SUM($F$2:F22)</f>
        <v>141500</v>
      </c>
      <c r="AP22" s="29">
        <v>2068505</v>
      </c>
      <c r="AQ22" s="29">
        <v>11</v>
      </c>
      <c r="AR22" s="29">
        <v>11</v>
      </c>
      <c r="AS22" s="37">
        <f>PMT(Table1[[#This Row],[Loan Amount]]/12,Table1[[#This Row],[Interest Rate]],-Table1[[#This Row],[Tenure (Months)]])</f>
        <v>1896129.5833333333</v>
      </c>
      <c r="AY22" t="s">
        <v>393</v>
      </c>
      <c r="BN22" s="7" t="s">
        <v>426</v>
      </c>
      <c r="CF22" s="7" t="s">
        <v>240</v>
      </c>
      <c r="CN22" s="32" t="s">
        <v>482</v>
      </c>
      <c r="CO22" s="38" t="s">
        <v>483</v>
      </c>
      <c r="CP22" s="38" t="s">
        <v>484</v>
      </c>
      <c r="CQ22" s="38" t="s">
        <v>337</v>
      </c>
    </row>
    <row r="23" spans="1:95">
      <c r="A23" s="17">
        <v>1022</v>
      </c>
      <c r="B23" s="2" t="s">
        <v>59</v>
      </c>
      <c r="C23" s="2" t="s">
        <v>15</v>
      </c>
      <c r="D23" s="2" t="s">
        <v>12</v>
      </c>
      <c r="E23" s="2" t="s">
        <v>60</v>
      </c>
      <c r="F23" s="2">
        <v>12000</v>
      </c>
      <c r="G23" s="2">
        <f>Table1[[#This Row],[Sales]]*0.7</f>
        <v>8400</v>
      </c>
      <c r="H23" s="2">
        <v>1</v>
      </c>
      <c r="I23" s="2">
        <v>0.1</v>
      </c>
      <c r="J23" s="2">
        <f>Table1[[#This Row],[Sales]]-Table1[[#This Row],[Cost]]</f>
        <v>3600</v>
      </c>
      <c r="K23" s="3">
        <v>44957</v>
      </c>
      <c r="L23" s="3">
        <v>44959</v>
      </c>
      <c r="M23" s="4">
        <v>10800</v>
      </c>
      <c r="N23" s="27">
        <v>0.16666666666666666</v>
      </c>
      <c r="O23" s="4" t="s">
        <v>113</v>
      </c>
      <c r="P23" s="4" t="s">
        <v>117</v>
      </c>
      <c r="Q23" s="4" t="s">
        <v>115</v>
      </c>
      <c r="R23" s="4" t="s">
        <v>121</v>
      </c>
      <c r="S23" s="4" t="s">
        <v>264</v>
      </c>
      <c r="T23" s="18">
        <v>1200</v>
      </c>
      <c r="U23" s="29" t="str">
        <f>IF(Table1[[#This Row],[Profit]]&gt;800,"High Profit","Low Profit")</f>
        <v>High Profit</v>
      </c>
      <c r="V23" s="29" t="str">
        <f>IF(AND(Table1[[#This Row],[Quantity]]&gt;2,Table1[[#This Row],[Discount]]&gt;0.04),"Bulk Deal","Ok Deal")</f>
        <v>Ok Deal</v>
      </c>
      <c r="W23" s="29" t="str">
        <f>IF(OR(Table1[[#This Row],[Region]]="East",Table1[[#This Row],[Region]]="West"),"High Priority Region","Only Region")</f>
        <v>High Priority Region</v>
      </c>
      <c r="X23" s="29" t="str">
        <f>LEFT(Table1[[#This Row],[Product Name]],5)</f>
        <v>Wardr</v>
      </c>
      <c r="Y23" s="29">
        <f>MONTH(Table1[[#This Row],[Order Date]])</f>
        <v>1</v>
      </c>
      <c r="Z23" s="29" t="str">
        <f>RIGHT(Table1[[#This Row],[Customer Name]],LEN(Table1[[#This Row],[Customer Name]])-FIND(" ",Table1[[#This Row],[Customer Name]])) &amp; ",  " &amp; LEFT(Table1[[#This Row],[Customer Name]],FIND(" ",Table1[[#This Row],[Customer Name]])-1)</f>
        <v>Adams,  Victor</v>
      </c>
      <c r="AA23" s="30">
        <f>Table1[[#This Row],[Order Date]]-10</f>
        <v>44947</v>
      </c>
      <c r="AB23" s="29" t="str">
        <f>TEXT(Table1[[#This Row],[Discount]],"0%")</f>
        <v>10%</v>
      </c>
      <c r="AC23" s="30">
        <f t="shared" si="0"/>
        <v>44967</v>
      </c>
      <c r="AD23" s="29">
        <f>YEAR(Table1[[#This Row],[Order Date]])</f>
        <v>2023</v>
      </c>
      <c r="AE23" s="30">
        <v>31399</v>
      </c>
      <c r="AF23" s="29">
        <f ca="1">DATEDIF(Table1[[#This Row],[Birthdate]],TODAY(),"Y")</f>
        <v>40</v>
      </c>
      <c r="AG23" s="29">
        <f>WEEKNUM(Table1[[#This Row],[Order Date]])</f>
        <v>5</v>
      </c>
      <c r="AH23" s="29">
        <f>NETWORKDAYS(Table1[[#This Row],[Order Date]],Table1[[#This Row],[Delivery Date]])</f>
        <v>3</v>
      </c>
      <c r="AI23" s="29">
        <f>WEEKDAY(Table1[[#This Row],[Order Date]])</f>
        <v>3</v>
      </c>
      <c r="AJ23" s="31" t="str">
        <f ca="1">IF(Table1[[#This Row],[Order Date]]&lt;TODAY(),"Old Order","New Order")</f>
        <v>Old Order</v>
      </c>
      <c r="AK23" s="29">
        <f ca="1">RANK(Table1[[#This Row],[Sales]],Table1[[#All],[Order ID]:[OrderDate]])</f>
        <v>262</v>
      </c>
      <c r="AL23" s="7">
        <f ca="1">SUM(OFFSET(K23,10,0,COUNTA(Table1[[#All],[Sales]])-1))</f>
        <v>854544</v>
      </c>
      <c r="AM23" s="30">
        <f t="shared" si="1"/>
        <v>44958</v>
      </c>
      <c r="AN23" s="29" t="str" cm="1">
        <f t="array" ref="AN23">_xlfn.IFS(Table1[[#This Row],[Profit]]&gt;3000,"A",Table1[[#This Row],[Profit]]&gt;1000,"B",Table1[[#This Row],[Profit]]&gt;500,"C",TRUE,"D")</f>
        <v>A</v>
      </c>
      <c r="AO23" s="29">
        <f>SUM($F$2:F23)</f>
        <v>153500</v>
      </c>
      <c r="AP23" s="29">
        <v>2105876</v>
      </c>
      <c r="AQ23" s="29">
        <v>10</v>
      </c>
      <c r="AR23" s="29">
        <v>12</v>
      </c>
      <c r="AS23" s="37">
        <f>PMT(Table1[[#This Row],[Loan Amount]]/12,Table1[[#This Row],[Interest Rate]],-Table1[[#This Row],[Tenure (Months)]])</f>
        <v>2105876</v>
      </c>
      <c r="AY23">
        <f>ROUND(F2,-1)</f>
        <v>1200</v>
      </c>
      <c r="AZ23" t="s">
        <v>401</v>
      </c>
      <c r="BN23" s="7">
        <f>INDEX(Table1[[#All],[Quantity]],MATCH(A2,Table1[[#All],[Order ID]],0))</f>
        <v>2</v>
      </c>
      <c r="BO23" t="s">
        <v>420</v>
      </c>
      <c r="BX23" s="7" t="s">
        <v>453</v>
      </c>
      <c r="CF23" s="7" t="s">
        <v>241</v>
      </c>
      <c r="CN23" s="39">
        <v>1360610</v>
      </c>
      <c r="CO23" s="39">
        <v>10</v>
      </c>
      <c r="CP23" s="39">
        <v>10</v>
      </c>
      <c r="CQ23" s="40">
        <f>PMT(Table1[[#This Row],[Loan Amount]]/12,Table1[[#This Row],[Interest Rate]],-Table1[[#This Row],[Tenure (Months)]])</f>
        <v>2105876</v>
      </c>
    </row>
    <row r="24" spans="1:95">
      <c r="A24" s="17">
        <v>1023</v>
      </c>
      <c r="B24" s="2" t="s">
        <v>61</v>
      </c>
      <c r="C24" s="2" t="s">
        <v>19</v>
      </c>
      <c r="D24" s="2" t="s">
        <v>16</v>
      </c>
      <c r="E24" s="2" t="s">
        <v>62</v>
      </c>
      <c r="F24" s="2">
        <v>250</v>
      </c>
      <c r="G24" s="2">
        <f>Table1[[#This Row],[Sales]]*0.7</f>
        <v>175</v>
      </c>
      <c r="H24" s="2">
        <v>2</v>
      </c>
      <c r="I24" s="2">
        <v>0</v>
      </c>
      <c r="J24" s="2">
        <f>Table1[[#This Row],[Sales]]-Table1[[#This Row],[Cost]]</f>
        <v>75</v>
      </c>
      <c r="K24" s="3">
        <v>44958</v>
      </c>
      <c r="L24" s="3">
        <v>44968</v>
      </c>
      <c r="M24" s="4">
        <v>250</v>
      </c>
      <c r="N24" s="27">
        <v>0.16</v>
      </c>
      <c r="O24" s="4" t="s">
        <v>127</v>
      </c>
      <c r="P24" s="4" t="s">
        <v>125</v>
      </c>
      <c r="Q24" s="4" t="s">
        <v>118</v>
      </c>
      <c r="R24" s="4" t="s">
        <v>116</v>
      </c>
      <c r="S24" s="4" t="s">
        <v>265</v>
      </c>
      <c r="T24" s="18">
        <v>0</v>
      </c>
      <c r="U24" s="29" t="str">
        <f>IF(Table1[[#This Row],[Profit]]&gt;800,"High Profit","Low Profit")</f>
        <v>Low Profit</v>
      </c>
      <c r="V24" s="29" t="str">
        <f>IF(AND(Table1[[#This Row],[Quantity]]&gt;2,Table1[[#This Row],[Discount]]&gt;0.04),"Bulk Deal","Ok Deal")</f>
        <v>Ok Deal</v>
      </c>
      <c r="W24" s="29" t="str">
        <f>IF(OR(Table1[[#This Row],[Region]]="East",Table1[[#This Row],[Region]]="West"),"High Priority Region","Only Region")</f>
        <v>Only Region</v>
      </c>
      <c r="X24" s="29" t="str">
        <f>LEFT(Table1[[#This Row],[Product Name]],5)</f>
        <v>Calcu</v>
      </c>
      <c r="Y24" s="29">
        <f>MONTH(Table1[[#This Row],[Order Date]])</f>
        <v>2</v>
      </c>
      <c r="Z24" s="29" t="str">
        <f>RIGHT(Table1[[#This Row],[Customer Name]],LEN(Table1[[#This Row],[Customer Name]])-FIND(" ",Table1[[#This Row],[Customer Name]])) &amp; ",  " &amp; LEFT(Table1[[#This Row],[Customer Name]],FIND(" ",Table1[[#This Row],[Customer Name]])-1)</f>
        <v>Brown,  Wendy</v>
      </c>
      <c r="AA24" s="30">
        <f>Table1[[#This Row],[Order Date]]-10</f>
        <v>44948</v>
      </c>
      <c r="AB24" s="29" t="str">
        <f>TEXT(Table1[[#This Row],[Discount]],"0%")</f>
        <v>0%</v>
      </c>
      <c r="AC24" s="30">
        <f t="shared" si="0"/>
        <v>44968</v>
      </c>
      <c r="AD24" s="29">
        <f>YEAR(Table1[[#This Row],[Order Date]])</f>
        <v>2023</v>
      </c>
      <c r="AE24" s="30">
        <v>33348</v>
      </c>
      <c r="AF24" s="29">
        <f ca="1">DATEDIF(Table1[[#This Row],[Birthdate]],TODAY(),"Y")</f>
        <v>34</v>
      </c>
      <c r="AG24" s="29">
        <f>WEEKNUM(Table1[[#This Row],[Order Date]])</f>
        <v>5</v>
      </c>
      <c r="AH24" s="29">
        <f>NETWORKDAYS(Table1[[#This Row],[Order Date]],Table1[[#This Row],[Delivery Date]])</f>
        <v>8</v>
      </c>
      <c r="AI24" s="29">
        <f>WEEKDAY(Table1[[#This Row],[Order Date]])</f>
        <v>4</v>
      </c>
      <c r="AJ24" s="31" t="str">
        <f ca="1">IF(Table1[[#This Row],[Order Date]]&lt;TODAY(),"Old Order","New Order")</f>
        <v>Old Order</v>
      </c>
      <c r="AK24" s="29">
        <f ca="1">RANK(Table1[[#This Row],[Sales]],Table1[[#All],[Order ID]:[OrderDate]])</f>
        <v>495</v>
      </c>
      <c r="AL24" s="7">
        <f ca="1">SUM(OFFSET(K24,10,0,COUNTA(Table1[[#All],[Sales]])-1))</f>
        <v>809577</v>
      </c>
      <c r="AM24" s="30">
        <f t="shared" si="1"/>
        <v>44959</v>
      </c>
      <c r="AN24" s="29" t="str" cm="1">
        <f t="array" ref="AN24">_xlfn.IFS(Table1[[#This Row],[Profit]]&gt;3000,"A",Table1[[#This Row],[Profit]]&gt;1000,"B",Table1[[#This Row],[Profit]]&gt;500,"C",TRUE,"D")</f>
        <v>D</v>
      </c>
      <c r="AO24" s="29">
        <f>SUM($F$2:F24)</f>
        <v>153750</v>
      </c>
      <c r="AP24" s="29">
        <v>2234410</v>
      </c>
      <c r="AQ24" s="29">
        <v>10</v>
      </c>
      <c r="AR24" s="29">
        <v>7</v>
      </c>
      <c r="AS24" s="37">
        <f>PMT(Table1[[#This Row],[Loan Amount]]/12,Table1[[#This Row],[Interest Rate]],-Table1[[#This Row],[Tenure (Months)]])</f>
        <v>1303405.8333333335</v>
      </c>
      <c r="BX24" t="s">
        <v>445</v>
      </c>
      <c r="CF24" s="7" t="s">
        <v>242</v>
      </c>
      <c r="CG24" t="s">
        <v>470</v>
      </c>
      <c r="CN24" s="41">
        <v>2069646</v>
      </c>
      <c r="CO24" s="41">
        <v>8</v>
      </c>
      <c r="CP24" s="41">
        <v>8</v>
      </c>
      <c r="CQ24" s="40">
        <f>PMT(Table1[[#This Row],[Loan Amount]]/12,Table1[[#This Row],[Interest Rate]],-Table1[[#This Row],[Tenure (Months)]])</f>
        <v>1303405.8333333335</v>
      </c>
    </row>
    <row r="25" spans="1:95">
      <c r="A25" s="17">
        <v>1024</v>
      </c>
      <c r="B25" s="2" t="s">
        <v>63</v>
      </c>
      <c r="C25" s="2" t="s">
        <v>23</v>
      </c>
      <c r="D25" s="2" t="s">
        <v>20</v>
      </c>
      <c r="E25" s="2" t="s">
        <v>64</v>
      </c>
      <c r="F25" s="2">
        <v>1200</v>
      </c>
      <c r="G25" s="2">
        <f>Table1[[#This Row],[Sales]]*0.7</f>
        <v>840</v>
      </c>
      <c r="H25" s="2">
        <v>1</v>
      </c>
      <c r="I25" s="2">
        <v>0</v>
      </c>
      <c r="J25" s="2">
        <f>Table1[[#This Row],[Sales]]-Table1[[#This Row],[Cost]]</f>
        <v>360</v>
      </c>
      <c r="K25" s="3">
        <v>44959</v>
      </c>
      <c r="L25" s="3">
        <v>44965</v>
      </c>
      <c r="M25" s="4">
        <v>1200</v>
      </c>
      <c r="N25" s="27">
        <v>0.15</v>
      </c>
      <c r="O25" s="4" t="s">
        <v>127</v>
      </c>
      <c r="P25" s="4" t="s">
        <v>119</v>
      </c>
      <c r="Q25" s="4" t="s">
        <v>120</v>
      </c>
      <c r="R25" s="4" t="s">
        <v>116</v>
      </c>
      <c r="S25" s="4" t="s">
        <v>265</v>
      </c>
      <c r="T25" s="18">
        <v>0</v>
      </c>
      <c r="U25" s="29" t="str">
        <f>IF(Table1[[#This Row],[Profit]]&gt;800,"High Profit","Low Profit")</f>
        <v>Low Profit</v>
      </c>
      <c r="V25" s="29" t="str">
        <f>IF(AND(Table1[[#This Row],[Quantity]]&gt;2,Table1[[#This Row],[Discount]]&gt;0.04),"Bulk Deal","Ok Deal")</f>
        <v>Ok Deal</v>
      </c>
      <c r="W25" s="29" t="str">
        <f>IF(OR(Table1[[#This Row],[Region]]="East",Table1[[#This Row],[Region]]="West"),"High Priority Region","Only Region")</f>
        <v>Only Region</v>
      </c>
      <c r="X25" s="29" t="str">
        <f>LEFT(Table1[[#This Row],[Product Name]],5)</f>
        <v>Route</v>
      </c>
      <c r="Y25" s="29">
        <f>MONTH(Table1[[#This Row],[Order Date]])</f>
        <v>2</v>
      </c>
      <c r="Z25" s="29" t="str">
        <f>RIGHT(Table1[[#This Row],[Customer Name]],LEN(Table1[[#This Row],[Customer Name]])-FIND(" ",Table1[[#This Row],[Customer Name]])) &amp; ",  " &amp; LEFT(Table1[[#This Row],[Customer Name]],FIND(" ",Table1[[#This Row],[Customer Name]])-1)</f>
        <v>Green,  Xavier</v>
      </c>
      <c r="AA25" s="30">
        <f>Table1[[#This Row],[Order Date]]-10</f>
        <v>44949</v>
      </c>
      <c r="AB25" s="29" t="str">
        <f>TEXT(Table1[[#This Row],[Discount]],"0%")</f>
        <v>0%</v>
      </c>
      <c r="AC25" s="30">
        <f t="shared" si="0"/>
        <v>44969</v>
      </c>
      <c r="AD25" s="29">
        <f>YEAR(Table1[[#This Row],[Order Date]])</f>
        <v>2023</v>
      </c>
      <c r="AE25" s="30">
        <v>33973</v>
      </c>
      <c r="AF25" s="29">
        <f ca="1">DATEDIF(Table1[[#This Row],[Birthdate]],TODAY(),"Y")</f>
        <v>33</v>
      </c>
      <c r="AG25" s="29">
        <f>WEEKNUM(Table1[[#This Row],[Order Date]])</f>
        <v>5</v>
      </c>
      <c r="AH25" s="29">
        <f>NETWORKDAYS(Table1[[#This Row],[Order Date]],Table1[[#This Row],[Delivery Date]])</f>
        <v>5</v>
      </c>
      <c r="AI25" s="29">
        <f>WEEKDAY(Table1[[#This Row],[Order Date]])</f>
        <v>5</v>
      </c>
      <c r="AJ25" s="31" t="str">
        <f ca="1">IF(Table1[[#This Row],[Order Date]]&lt;TODAY(),"Old Order","New Order")</f>
        <v>Old Order</v>
      </c>
      <c r="AK25" s="29">
        <f ca="1">RANK(Table1[[#This Row],[Sales]],Table1[[#All],[Order ID]:[OrderDate]])</f>
        <v>393</v>
      </c>
      <c r="AL25" s="7">
        <f ca="1">SUM(OFFSET(K25,10,0,COUNTA(Table1[[#All],[Sales]])-1))</f>
        <v>764609</v>
      </c>
      <c r="AM25" s="30">
        <f t="shared" si="1"/>
        <v>44960</v>
      </c>
      <c r="AN25" s="29" t="str" cm="1">
        <f t="array" ref="AN25">_xlfn.IFS(Table1[[#This Row],[Profit]]&gt;3000,"A",Table1[[#This Row],[Profit]]&gt;1000,"B",Table1[[#This Row],[Profit]]&gt;500,"C",TRUE,"D")</f>
        <v>D</v>
      </c>
      <c r="AO25" s="29">
        <f>SUM($F$2:F25)</f>
        <v>154950</v>
      </c>
      <c r="AP25" s="29">
        <v>1137631</v>
      </c>
      <c r="AQ25" s="29">
        <v>8</v>
      </c>
      <c r="AR25" s="29">
        <v>9</v>
      </c>
      <c r="AS25" s="37">
        <f>PMT(Table1[[#This Row],[Loan Amount]]/12,Table1[[#This Row],[Interest Rate]],-Table1[[#This Row],[Tenure (Months)]])</f>
        <v>853223.25</v>
      </c>
      <c r="AY25" t="s">
        <v>394</v>
      </c>
      <c r="BN25" s="7" t="s">
        <v>427</v>
      </c>
      <c r="CN25" s="39">
        <v>1860325</v>
      </c>
      <c r="CO25" s="39">
        <v>10</v>
      </c>
      <c r="CP25" s="39">
        <v>12</v>
      </c>
      <c r="CQ25" s="40">
        <f>PMT(Table1[[#This Row],[Loan Amount]]/12,Table1[[#This Row],[Interest Rate]],-Table1[[#This Row],[Tenure (Months)]])</f>
        <v>853223.25</v>
      </c>
    </row>
    <row r="26" spans="1:95">
      <c r="A26" s="17">
        <v>1025</v>
      </c>
      <c r="B26" s="2" t="s">
        <v>65</v>
      </c>
      <c r="C26" s="2" t="s">
        <v>11</v>
      </c>
      <c r="D26" s="2" t="s">
        <v>12</v>
      </c>
      <c r="E26" s="2" t="s">
        <v>66</v>
      </c>
      <c r="F26" s="2">
        <v>800</v>
      </c>
      <c r="G26" s="2">
        <f>Table1[[#This Row],[Sales]]*0.7</f>
        <v>560</v>
      </c>
      <c r="H26" s="2">
        <v>2</v>
      </c>
      <c r="I26" s="2">
        <v>0</v>
      </c>
      <c r="J26" s="2">
        <f>Table1[[#This Row],[Sales]]-Table1[[#This Row],[Cost]]</f>
        <v>240</v>
      </c>
      <c r="K26" s="3">
        <v>44960</v>
      </c>
      <c r="L26" s="3">
        <v>44962</v>
      </c>
      <c r="M26" s="4">
        <v>800</v>
      </c>
      <c r="N26" s="27">
        <v>0.125</v>
      </c>
      <c r="O26" s="4" t="s">
        <v>127</v>
      </c>
      <c r="P26" s="4" t="s">
        <v>126</v>
      </c>
      <c r="Q26" s="4" t="s">
        <v>115</v>
      </c>
      <c r="R26" s="4" t="s">
        <v>116</v>
      </c>
      <c r="S26" s="4" t="s">
        <v>264</v>
      </c>
      <c r="T26" s="18">
        <v>0</v>
      </c>
      <c r="U26" s="29" t="str">
        <f>IF(Table1[[#This Row],[Profit]]&gt;800,"High Profit","Low Profit")</f>
        <v>Low Profit</v>
      </c>
      <c r="V26" s="29" t="str">
        <f>IF(AND(Table1[[#This Row],[Quantity]]&gt;2,Table1[[#This Row],[Discount]]&gt;0.04),"Bulk Deal","Ok Deal")</f>
        <v>Ok Deal</v>
      </c>
      <c r="W26" s="29" t="str">
        <f>IF(OR(Table1[[#This Row],[Region]]="East",Table1[[#This Row],[Region]]="West"),"High Priority Region","Only Region")</f>
        <v>High Priority Region</v>
      </c>
      <c r="X26" s="29" t="str">
        <f>LEFT(Table1[[#This Row],[Product Name]],5)</f>
        <v>Stool</v>
      </c>
      <c r="Y26" s="29">
        <f>MONTH(Table1[[#This Row],[Order Date]])</f>
        <v>2</v>
      </c>
      <c r="Z26" s="29" t="str">
        <f>RIGHT(Table1[[#This Row],[Customer Name]],LEN(Table1[[#This Row],[Customer Name]])-FIND(" ",Table1[[#This Row],[Customer Name]])) &amp; ",  " &amp; LEFT(Table1[[#This Row],[Customer Name]],FIND(" ",Table1[[#This Row],[Customer Name]])-1)</f>
        <v>White,  Yara</v>
      </c>
      <c r="AA26" s="30">
        <f>Table1[[#This Row],[Order Date]]-10</f>
        <v>44950</v>
      </c>
      <c r="AB26" s="29" t="str">
        <f>TEXT(Table1[[#This Row],[Discount]],"0%")</f>
        <v>0%</v>
      </c>
      <c r="AC26" s="30">
        <f t="shared" si="0"/>
        <v>44970</v>
      </c>
      <c r="AD26" s="29">
        <f>YEAR(Table1[[#This Row],[Order Date]])</f>
        <v>2023</v>
      </c>
      <c r="AE26" s="30">
        <v>37167</v>
      </c>
      <c r="AF26" s="29">
        <f ca="1">DATEDIF(Table1[[#This Row],[Birthdate]],TODAY(),"Y")</f>
        <v>24</v>
      </c>
      <c r="AG26" s="29">
        <f>WEEKNUM(Table1[[#This Row],[Order Date]])</f>
        <v>5</v>
      </c>
      <c r="AH26" s="29">
        <f>NETWORKDAYS(Table1[[#This Row],[Order Date]],Table1[[#This Row],[Delivery Date]])</f>
        <v>1</v>
      </c>
      <c r="AI26" s="29">
        <f>WEEKDAY(Table1[[#This Row],[Order Date]])</f>
        <v>6</v>
      </c>
      <c r="AJ26" s="31" t="str">
        <f ca="1">IF(Table1[[#This Row],[Order Date]]&lt;TODAY(),"Old Order","New Order")</f>
        <v>Old Order</v>
      </c>
      <c r="AK26" s="29">
        <f ca="1">RANK(Table1[[#This Row],[Sales]],Table1[[#All],[Order ID]:[OrderDate]])</f>
        <v>462</v>
      </c>
      <c r="AL26" s="7">
        <f ca="1">SUM(OFFSET(K26,10,0,COUNTA(Table1[[#All],[Sales]])-1))</f>
        <v>719640</v>
      </c>
      <c r="AM26" s="30">
        <f t="shared" si="1"/>
        <v>44961</v>
      </c>
      <c r="AN26" s="29" t="str" cm="1">
        <f t="array" ref="AN26">_xlfn.IFS(Table1[[#This Row],[Profit]]&gt;3000,"A",Table1[[#This Row],[Profit]]&gt;1000,"B",Table1[[#This Row],[Profit]]&gt;500,"C",TRUE,"D")</f>
        <v>D</v>
      </c>
      <c r="AO26" s="29">
        <f>SUM($F$2:F26)</f>
        <v>155750</v>
      </c>
      <c r="AP26" s="29">
        <v>2164701</v>
      </c>
      <c r="AQ26" s="29">
        <v>12</v>
      </c>
      <c r="AR26" s="29">
        <v>9</v>
      </c>
      <c r="AS26" s="37">
        <f>PMT(Table1[[#This Row],[Loan Amount]]/12,Table1[[#This Row],[Interest Rate]],-Table1[[#This Row],[Tenure (Months)]])</f>
        <v>1623525.75</v>
      </c>
      <c r="AY26" t="s">
        <v>402</v>
      </c>
      <c r="BN26" s="7">
        <f>HLOOKUP(Table1[[#Headers],[Sales]],Table1[#All],2,0)</f>
        <v>1200</v>
      </c>
      <c r="BO26" t="s">
        <v>421</v>
      </c>
      <c r="CF26" s="7" t="s">
        <v>244</v>
      </c>
      <c r="CN26" s="41">
        <v>1766582</v>
      </c>
      <c r="CO26" s="41">
        <v>9</v>
      </c>
      <c r="CP26" s="41">
        <v>5</v>
      </c>
      <c r="CQ26" s="40">
        <f>PMT(Table1[[#This Row],[Loan Amount]]/12,Table1[[#This Row],[Interest Rate]],-Table1[[#This Row],[Tenure (Months)]])</f>
        <v>1623525.75</v>
      </c>
    </row>
    <row r="27" spans="1:95">
      <c r="A27" s="17">
        <v>1026</v>
      </c>
      <c r="B27" s="2" t="s">
        <v>67</v>
      </c>
      <c r="C27" s="2" t="s">
        <v>15</v>
      </c>
      <c r="D27" s="2" t="s">
        <v>16</v>
      </c>
      <c r="E27" s="2" t="s">
        <v>68</v>
      </c>
      <c r="F27" s="2">
        <v>100</v>
      </c>
      <c r="G27" s="2">
        <f>Table1[[#This Row],[Sales]]*0.7</f>
        <v>70</v>
      </c>
      <c r="H27" s="2">
        <v>3</v>
      </c>
      <c r="I27" s="2">
        <v>0</v>
      </c>
      <c r="J27" s="2">
        <f>Table1[[#This Row],[Sales]]-Table1[[#This Row],[Cost]]</f>
        <v>30</v>
      </c>
      <c r="K27" s="3">
        <v>44961</v>
      </c>
      <c r="L27" s="3">
        <v>44968</v>
      </c>
      <c r="M27" s="4">
        <v>100</v>
      </c>
      <c r="N27" s="27">
        <v>0.15</v>
      </c>
      <c r="O27" s="4" t="s">
        <v>127</v>
      </c>
      <c r="P27" s="4" t="s">
        <v>122</v>
      </c>
      <c r="Q27" s="4" t="s">
        <v>118</v>
      </c>
      <c r="R27" s="4" t="s">
        <v>116</v>
      </c>
      <c r="S27" s="4" t="s">
        <v>265</v>
      </c>
      <c r="T27" s="18">
        <v>0</v>
      </c>
      <c r="U27" s="29" t="str">
        <f>IF(Table1[[#This Row],[Profit]]&gt;800,"High Profit","Low Profit")</f>
        <v>Low Profit</v>
      </c>
      <c r="V27" s="29" t="str">
        <f>IF(AND(Table1[[#This Row],[Quantity]]&gt;2,Table1[[#This Row],[Discount]]&gt;0.04),"Bulk Deal","Ok Deal")</f>
        <v>Ok Deal</v>
      </c>
      <c r="W27" s="29" t="str">
        <f>IF(OR(Table1[[#This Row],[Region]]="East",Table1[[#This Row],[Region]]="West"),"High Priority Region","Only Region")</f>
        <v>High Priority Region</v>
      </c>
      <c r="X27" s="29" t="str">
        <f>LEFT(Table1[[#This Row],[Product Name]],5)</f>
        <v>Binde</v>
      </c>
      <c r="Y27" s="29">
        <f>MONTH(Table1[[#This Row],[Order Date]])</f>
        <v>2</v>
      </c>
      <c r="Z27" s="29" t="str">
        <f>RIGHT(Table1[[#This Row],[Customer Name]],LEN(Table1[[#This Row],[Customer Name]])-FIND(" ",Table1[[#This Row],[Customer Name]])) &amp; ",  " &amp; LEFT(Table1[[#This Row],[Customer Name]],FIND(" ",Table1[[#This Row],[Customer Name]])-1)</f>
        <v>Hall,  Zachary</v>
      </c>
      <c r="AA27" s="30">
        <f>Table1[[#This Row],[Order Date]]-10</f>
        <v>44951</v>
      </c>
      <c r="AB27" s="29" t="str">
        <f>TEXT(Table1[[#This Row],[Discount]],"0%")</f>
        <v>0%</v>
      </c>
      <c r="AC27" s="30">
        <f t="shared" si="0"/>
        <v>44971</v>
      </c>
      <c r="AD27" s="29">
        <f>YEAR(Table1[[#This Row],[Order Date]])</f>
        <v>2023</v>
      </c>
      <c r="AE27" s="30">
        <v>30236</v>
      </c>
      <c r="AF27" s="29">
        <f ca="1">DATEDIF(Table1[[#This Row],[Birthdate]],TODAY(),"Y")</f>
        <v>43</v>
      </c>
      <c r="AG27" s="29">
        <f>WEEKNUM(Table1[[#This Row],[Order Date]])</f>
        <v>5</v>
      </c>
      <c r="AH27" s="29">
        <f>NETWORKDAYS(Table1[[#This Row],[Order Date]],Table1[[#This Row],[Delivery Date]])</f>
        <v>5</v>
      </c>
      <c r="AI27" s="29">
        <f>WEEKDAY(Table1[[#This Row],[Order Date]])</f>
        <v>7</v>
      </c>
      <c r="AJ27" s="31" t="str">
        <f ca="1">IF(Table1[[#This Row],[Order Date]]&lt;TODAY(),"Old Order","New Order")</f>
        <v>Old Order</v>
      </c>
      <c r="AK27" s="29">
        <f ca="1">RANK(Table1[[#This Row],[Sales]],Table1[[#All],[Order ID]:[OrderDate]])</f>
        <v>537</v>
      </c>
      <c r="AL27" s="7">
        <f ca="1">SUM(OFFSET(K27,10,0,COUNTA(Table1[[#All],[Sales]])-1))</f>
        <v>674670</v>
      </c>
      <c r="AM27" s="30">
        <f t="shared" si="1"/>
        <v>44962</v>
      </c>
      <c r="AN27" s="29" t="str" cm="1">
        <f t="array" ref="AN27">_xlfn.IFS(Table1[[#This Row],[Profit]]&gt;3000,"A",Table1[[#This Row],[Profit]]&gt;1000,"B",Table1[[#This Row],[Profit]]&gt;500,"C",TRUE,"D")</f>
        <v>D</v>
      </c>
      <c r="AO27" s="29">
        <f>SUM($F$2:F27)</f>
        <v>155850</v>
      </c>
      <c r="AP27" s="29">
        <v>2029710</v>
      </c>
      <c r="AQ27" s="29">
        <v>11</v>
      </c>
      <c r="AR27" s="29">
        <v>12</v>
      </c>
      <c r="AS27" s="37">
        <f>PMT(Table1[[#This Row],[Loan Amount]]/12,Table1[[#This Row],[Interest Rate]],-Table1[[#This Row],[Tenure (Months)]])</f>
        <v>2029710</v>
      </c>
      <c r="CF27" cm="1">
        <f t="array" ref="CF27">SUMPRODUCT((Table1[Product Category]="Technology")*(Table1[Sales]))</f>
        <v>206600</v>
      </c>
      <c r="CG27" s="7" t="s">
        <v>456</v>
      </c>
      <c r="CN27" s="39">
        <v>1893285</v>
      </c>
      <c r="CO27" s="39">
        <v>8</v>
      </c>
      <c r="CP27" s="39">
        <v>10</v>
      </c>
      <c r="CQ27" s="40">
        <f>PMT(Table1[[#This Row],[Loan Amount]]/12,Table1[[#This Row],[Interest Rate]],-Table1[[#This Row],[Tenure (Months)]])</f>
        <v>2029710</v>
      </c>
    </row>
    <row r="28" spans="1:95">
      <c r="A28" s="17">
        <v>1027</v>
      </c>
      <c r="B28" s="2" t="s">
        <v>69</v>
      </c>
      <c r="C28" s="2" t="s">
        <v>19</v>
      </c>
      <c r="D28" s="2" t="s">
        <v>20</v>
      </c>
      <c r="E28" s="2" t="s">
        <v>70</v>
      </c>
      <c r="F28" s="2">
        <v>4500</v>
      </c>
      <c r="G28" s="2">
        <f>Table1[[#This Row],[Sales]]*0.7</f>
        <v>3150</v>
      </c>
      <c r="H28" s="2">
        <v>1</v>
      </c>
      <c r="I28" s="2">
        <v>0.05</v>
      </c>
      <c r="J28" s="2">
        <f>Table1[[#This Row],[Sales]]-Table1[[#This Row],[Cost]]</f>
        <v>1350</v>
      </c>
      <c r="K28" s="3">
        <v>44962</v>
      </c>
      <c r="L28" s="3">
        <v>44966</v>
      </c>
      <c r="M28" s="4">
        <v>4275</v>
      </c>
      <c r="N28" s="27">
        <v>0.1111111111111111</v>
      </c>
      <c r="O28" s="4" t="s">
        <v>127</v>
      </c>
      <c r="P28" s="4" t="s">
        <v>114</v>
      </c>
      <c r="Q28" s="4" t="s">
        <v>120</v>
      </c>
      <c r="R28" s="4" t="s">
        <v>123</v>
      </c>
      <c r="S28" s="4" t="s">
        <v>264</v>
      </c>
      <c r="T28" s="18">
        <v>225</v>
      </c>
      <c r="U28" s="29" t="str">
        <f>IF(Table1[[#This Row],[Profit]]&gt;800,"High Profit","Low Profit")</f>
        <v>High Profit</v>
      </c>
      <c r="V28" s="29" t="str">
        <f>IF(AND(Table1[[#This Row],[Quantity]]&gt;2,Table1[[#This Row],[Discount]]&gt;0.04),"Bulk Deal","Ok Deal")</f>
        <v>Ok Deal</v>
      </c>
      <c r="W28" s="29" t="str">
        <f>IF(OR(Table1[[#This Row],[Region]]="East",Table1[[#This Row],[Region]]="West"),"High Priority Region","Only Region")</f>
        <v>Only Region</v>
      </c>
      <c r="X28" s="29" t="str">
        <f>LEFT(Table1[[#This Row],[Product Name]],5)</f>
        <v>Table</v>
      </c>
      <c r="Y28" s="29">
        <f>MONTH(Table1[[#This Row],[Order Date]])</f>
        <v>2</v>
      </c>
      <c r="Z28" s="29" t="str">
        <f>RIGHT(Table1[[#This Row],[Customer Name]],LEN(Table1[[#This Row],[Customer Name]])-FIND(" ",Table1[[#This Row],[Customer Name]])) &amp; ",  " &amp; LEFT(Table1[[#This Row],[Customer Name]],FIND(" ",Table1[[#This Row],[Customer Name]])-1)</f>
        <v>Turner,  Amy</v>
      </c>
      <c r="AA28" s="30">
        <f>Table1[[#This Row],[Order Date]]-10</f>
        <v>44952</v>
      </c>
      <c r="AB28" s="29" t="str">
        <f>TEXT(Table1[[#This Row],[Discount]],"0%")</f>
        <v>5%</v>
      </c>
      <c r="AC28" s="30">
        <f t="shared" si="0"/>
        <v>44972</v>
      </c>
      <c r="AD28" s="29">
        <f>YEAR(Table1[[#This Row],[Order Date]])</f>
        <v>2023</v>
      </c>
      <c r="AE28" s="30">
        <v>33469</v>
      </c>
      <c r="AF28" s="29">
        <f ca="1">DATEDIF(Table1[[#This Row],[Birthdate]],TODAY(),"Y")</f>
        <v>34</v>
      </c>
      <c r="AG28" s="29">
        <f>WEEKNUM(Table1[[#This Row],[Order Date]])</f>
        <v>6</v>
      </c>
      <c r="AH28" s="29">
        <f>NETWORKDAYS(Table1[[#This Row],[Order Date]],Table1[[#This Row],[Delivery Date]])</f>
        <v>4</v>
      </c>
      <c r="AI28" s="29">
        <f>WEEKDAY(Table1[[#This Row],[Order Date]])</f>
        <v>1</v>
      </c>
      <c r="AJ28" s="31" t="str">
        <f ca="1">IF(Table1[[#This Row],[Order Date]]&lt;TODAY(),"Old Order","New Order")</f>
        <v>Old Order</v>
      </c>
      <c r="AK28" s="29">
        <f ca="1">RANK(Table1[[#This Row],[Sales]],Table1[[#All],[Order ID]:[OrderDate]])</f>
        <v>295</v>
      </c>
      <c r="AL28" s="7">
        <f ca="1">SUM(OFFSET(K28,10,0,COUNTA(Table1[[#All],[Sales]])-1))</f>
        <v>629699</v>
      </c>
      <c r="AM28" s="30">
        <f t="shared" si="1"/>
        <v>44963</v>
      </c>
      <c r="AN28" s="29" t="str" cm="1">
        <f t="array" ref="AN28">_xlfn.IFS(Table1[[#This Row],[Profit]]&gt;3000,"A",Table1[[#This Row],[Profit]]&gt;1000,"B",Table1[[#This Row],[Profit]]&gt;500,"C",TRUE,"D")</f>
        <v>B</v>
      </c>
      <c r="AO28" s="29">
        <f>SUM($F$2:F28)</f>
        <v>160350</v>
      </c>
      <c r="AP28" s="29">
        <v>2135453</v>
      </c>
      <c r="AQ28" s="29">
        <v>10</v>
      </c>
      <c r="AR28" s="29">
        <v>10</v>
      </c>
      <c r="AS28" s="37">
        <f>PMT(Table1[[#This Row],[Loan Amount]]/12,Table1[[#This Row],[Interest Rate]],-Table1[[#This Row],[Tenure (Months)]])</f>
        <v>1779544.1666666665</v>
      </c>
      <c r="AY28" t="s">
        <v>395</v>
      </c>
      <c r="BN28" s="7" t="s">
        <v>428</v>
      </c>
      <c r="CN28" s="41">
        <v>2451287</v>
      </c>
      <c r="CO28" s="41">
        <v>11</v>
      </c>
      <c r="CP28" s="41">
        <v>8</v>
      </c>
      <c r="CQ28" s="40">
        <f>PMT(Table1[[#This Row],[Loan Amount]]/12,Table1[[#This Row],[Interest Rate]],-Table1[[#This Row],[Tenure (Months)]])</f>
        <v>1779544.1666666665</v>
      </c>
    </row>
    <row r="29" spans="1:95">
      <c r="A29" s="17">
        <v>1028</v>
      </c>
      <c r="B29" s="2" t="s">
        <v>71</v>
      </c>
      <c r="C29" s="2" t="s">
        <v>23</v>
      </c>
      <c r="D29" s="2" t="s">
        <v>12</v>
      </c>
      <c r="E29" s="2" t="s">
        <v>72</v>
      </c>
      <c r="F29" s="2">
        <v>14000</v>
      </c>
      <c r="G29" s="2">
        <f>Table1[[#This Row],[Sales]]*0.7</f>
        <v>9800</v>
      </c>
      <c r="H29" s="2">
        <v>1</v>
      </c>
      <c r="I29" s="2">
        <v>0.2</v>
      </c>
      <c r="J29" s="2">
        <f>Table1[[#This Row],[Sales]]-Table1[[#This Row],[Cost]]</f>
        <v>4200</v>
      </c>
      <c r="K29" s="3">
        <v>44963</v>
      </c>
      <c r="L29" s="3">
        <v>44970</v>
      </c>
      <c r="M29" s="4">
        <v>11200</v>
      </c>
      <c r="N29" s="27">
        <v>0.17857142857142858</v>
      </c>
      <c r="O29" s="4" t="s">
        <v>127</v>
      </c>
      <c r="P29" s="4" t="s">
        <v>124</v>
      </c>
      <c r="Q29" s="4" t="s">
        <v>115</v>
      </c>
      <c r="R29" s="4" t="s">
        <v>121</v>
      </c>
      <c r="S29" s="4" t="s">
        <v>265</v>
      </c>
      <c r="T29" s="18">
        <v>2800</v>
      </c>
      <c r="U29" s="29" t="str">
        <f>IF(Table1[[#This Row],[Profit]]&gt;800,"High Profit","Low Profit")</f>
        <v>High Profit</v>
      </c>
      <c r="V29" s="29" t="str">
        <f>IF(AND(Table1[[#This Row],[Quantity]]&gt;2,Table1[[#This Row],[Discount]]&gt;0.04),"Bulk Deal","Ok Deal")</f>
        <v>Ok Deal</v>
      </c>
      <c r="W29" s="29" t="str">
        <f>IF(OR(Table1[[#This Row],[Region]]="East",Table1[[#This Row],[Region]]="West"),"High Priority Region","Only Region")</f>
        <v>Only Region</v>
      </c>
      <c r="X29" s="29" t="str">
        <f>LEFT(Table1[[#This Row],[Product Name]],5)</f>
        <v>Couch</v>
      </c>
      <c r="Y29" s="29">
        <f>MONTH(Table1[[#This Row],[Order Date]])</f>
        <v>2</v>
      </c>
      <c r="Z29" s="29" t="str">
        <f>RIGHT(Table1[[#This Row],[Customer Name]],LEN(Table1[[#This Row],[Customer Name]])-FIND(" ",Table1[[#This Row],[Customer Name]])) &amp; ",  " &amp; LEFT(Table1[[#This Row],[Customer Name]],FIND(" ",Table1[[#This Row],[Customer Name]])-1)</f>
        <v>Young,  Brian</v>
      </c>
      <c r="AA29" s="30">
        <f>Table1[[#This Row],[Order Date]]-10</f>
        <v>44953</v>
      </c>
      <c r="AB29" s="29" t="str">
        <f>TEXT(Table1[[#This Row],[Discount]],"0%")</f>
        <v>20%</v>
      </c>
      <c r="AC29" s="30">
        <f t="shared" si="0"/>
        <v>44973</v>
      </c>
      <c r="AD29" s="29">
        <f>YEAR(Table1[[#This Row],[Order Date]])</f>
        <v>2023</v>
      </c>
      <c r="AE29" s="30">
        <v>33855</v>
      </c>
      <c r="AF29" s="29">
        <f ca="1">DATEDIF(Table1[[#This Row],[Birthdate]],TODAY(),"Y")</f>
        <v>33</v>
      </c>
      <c r="AG29" s="29">
        <f>WEEKNUM(Table1[[#This Row],[Order Date]])</f>
        <v>6</v>
      </c>
      <c r="AH29" s="29">
        <f>NETWORKDAYS(Table1[[#This Row],[Order Date]],Table1[[#This Row],[Delivery Date]])</f>
        <v>6</v>
      </c>
      <c r="AI29" s="29">
        <f>WEEKDAY(Table1[[#This Row],[Order Date]])</f>
        <v>2</v>
      </c>
      <c r="AJ29" s="31" t="str">
        <f ca="1">IF(Table1[[#This Row],[Order Date]]&lt;TODAY(),"Old Order","New Order")</f>
        <v>Old Order</v>
      </c>
      <c r="AK29" s="29">
        <f ca="1">RANK(Table1[[#This Row],[Sales]],Table1[[#All],[Order ID]:[OrderDate]])</f>
        <v>261</v>
      </c>
      <c r="AL29" s="7">
        <f ca="1">SUM(OFFSET(K29,10,0,COUNTA(Table1[[#All],[Sales]])-1))</f>
        <v>584727</v>
      </c>
      <c r="AM29" s="30">
        <f t="shared" si="1"/>
        <v>44964</v>
      </c>
      <c r="AN29" s="29" t="str" cm="1">
        <f t="array" ref="AN29">_xlfn.IFS(Table1[[#This Row],[Profit]]&gt;3000,"A",Table1[[#This Row],[Profit]]&gt;1000,"B",Table1[[#This Row],[Profit]]&gt;500,"C",TRUE,"D")</f>
        <v>A</v>
      </c>
      <c r="AO29" s="29">
        <f>SUM($F$2:F29)</f>
        <v>174350</v>
      </c>
      <c r="AP29" s="29">
        <v>1839758</v>
      </c>
      <c r="AQ29" s="29">
        <v>8</v>
      </c>
      <c r="AR29" s="29">
        <v>11</v>
      </c>
      <c r="AS29" s="37">
        <f>PMT(Table1[[#This Row],[Loan Amount]]/12,Table1[[#This Row],[Interest Rate]],-Table1[[#This Row],[Tenure (Months)]])</f>
        <v>1686444.8333333333</v>
      </c>
      <c r="AY29" t="s">
        <v>403</v>
      </c>
      <c r="BN29">
        <f>MATCH(D4,Table1[[#All],[Product Category]],0)</f>
        <v>4</v>
      </c>
      <c r="BO29" t="s">
        <v>422</v>
      </c>
      <c r="CF29" s="7" t="s">
        <v>471</v>
      </c>
      <c r="CN29" s="39">
        <v>1520300</v>
      </c>
      <c r="CO29" s="39">
        <v>12</v>
      </c>
      <c r="CP29" s="39">
        <v>12</v>
      </c>
      <c r="CQ29" s="40">
        <f>PMT(Table1[[#This Row],[Loan Amount]]/12,Table1[[#This Row],[Interest Rate]],-Table1[[#This Row],[Tenure (Months)]])</f>
        <v>1686444.8333333333</v>
      </c>
    </row>
    <row r="30" spans="1:95">
      <c r="A30" s="17">
        <v>1029</v>
      </c>
      <c r="B30" s="2" t="s">
        <v>73</v>
      </c>
      <c r="C30" s="2" t="s">
        <v>11</v>
      </c>
      <c r="D30" s="2" t="s">
        <v>16</v>
      </c>
      <c r="E30" s="2" t="s">
        <v>74</v>
      </c>
      <c r="F30" s="2">
        <v>50</v>
      </c>
      <c r="G30" s="2">
        <f>Table1[[#This Row],[Sales]]*0.7</f>
        <v>35</v>
      </c>
      <c r="H30" s="2">
        <v>5</v>
      </c>
      <c r="I30" s="2">
        <v>0</v>
      </c>
      <c r="J30" s="2">
        <f>Table1[[#This Row],[Sales]]-Table1[[#This Row],[Cost]]</f>
        <v>15</v>
      </c>
      <c r="K30" s="3">
        <v>44964</v>
      </c>
      <c r="L30" s="3">
        <v>44973</v>
      </c>
      <c r="M30" s="4">
        <v>50</v>
      </c>
      <c r="N30" s="27">
        <v>0.2</v>
      </c>
      <c r="O30" s="4" t="s">
        <v>127</v>
      </c>
      <c r="P30" s="4" t="s">
        <v>117</v>
      </c>
      <c r="Q30" s="4" t="s">
        <v>118</v>
      </c>
      <c r="R30" s="4" t="s">
        <v>116</v>
      </c>
      <c r="S30" s="4" t="s">
        <v>265</v>
      </c>
      <c r="T30" s="18">
        <v>0</v>
      </c>
      <c r="U30" s="29" t="str">
        <f>IF(Table1[[#This Row],[Profit]]&gt;800,"High Profit","Low Profit")</f>
        <v>Low Profit</v>
      </c>
      <c r="V30" s="29" t="str">
        <f>IF(AND(Table1[[#This Row],[Quantity]]&gt;2,Table1[[#This Row],[Discount]]&gt;0.04),"Bulk Deal","Ok Deal")</f>
        <v>Ok Deal</v>
      </c>
      <c r="W30" s="29" t="str">
        <f>IF(OR(Table1[[#This Row],[Region]]="East",Table1[[#This Row],[Region]]="West"),"High Priority Region","Only Region")</f>
        <v>High Priority Region</v>
      </c>
      <c r="X30" s="29" t="str">
        <f>LEFT(Table1[[#This Row],[Product Name]],5)</f>
        <v>Stick</v>
      </c>
      <c r="Y30" s="29">
        <f>MONTH(Table1[[#This Row],[Order Date]])</f>
        <v>2</v>
      </c>
      <c r="Z30" s="29" t="str">
        <f>RIGHT(Table1[[#This Row],[Customer Name]],LEN(Table1[[#This Row],[Customer Name]])-FIND(" ",Table1[[#This Row],[Customer Name]])) &amp; ",  " &amp; LEFT(Table1[[#This Row],[Customer Name]],FIND(" ",Table1[[#This Row],[Customer Name]])-1)</f>
        <v>Roberts,  Chloe</v>
      </c>
      <c r="AA30" s="30">
        <f>Table1[[#This Row],[Order Date]]-10</f>
        <v>44954</v>
      </c>
      <c r="AB30" s="29" t="str">
        <f>TEXT(Table1[[#This Row],[Discount]],"0%")</f>
        <v>0%</v>
      </c>
      <c r="AC30" s="30">
        <f t="shared" si="0"/>
        <v>44974</v>
      </c>
      <c r="AD30" s="29">
        <f>YEAR(Table1[[#This Row],[Order Date]])</f>
        <v>2023</v>
      </c>
      <c r="AE30" s="30">
        <v>34559</v>
      </c>
      <c r="AF30" s="29">
        <f ca="1">DATEDIF(Table1[[#This Row],[Birthdate]],TODAY(),"Y")</f>
        <v>31</v>
      </c>
      <c r="AG30" s="29">
        <f>WEEKNUM(Table1[[#This Row],[Order Date]])</f>
        <v>6</v>
      </c>
      <c r="AH30" s="29">
        <f>NETWORKDAYS(Table1[[#This Row],[Order Date]],Table1[[#This Row],[Delivery Date]])</f>
        <v>8</v>
      </c>
      <c r="AI30" s="29">
        <f>WEEKDAY(Table1[[#This Row],[Order Date]])</f>
        <v>3</v>
      </c>
      <c r="AJ30" s="31" t="str">
        <f ca="1">IF(Table1[[#This Row],[Order Date]]&lt;TODAY(),"Old Order","New Order")</f>
        <v>Old Order</v>
      </c>
      <c r="AK30" s="29">
        <f ca="1">RANK(Table1[[#This Row],[Sales]],Table1[[#All],[Order ID]:[OrderDate]])</f>
        <v>558</v>
      </c>
      <c r="AL30" s="7">
        <f ca="1">SUM(OFFSET(K30,10,0,COUNTA(Table1[[#All],[Sales]])-1))</f>
        <v>539754</v>
      </c>
      <c r="AM30" s="30">
        <f t="shared" si="1"/>
        <v>44965</v>
      </c>
      <c r="AN30" s="29" t="str" cm="1">
        <f t="array" ref="AN30">_xlfn.IFS(Table1[[#This Row],[Profit]]&gt;3000,"A",Table1[[#This Row],[Profit]]&gt;1000,"B",Table1[[#This Row],[Profit]]&gt;500,"C",TRUE,"D")</f>
        <v>D</v>
      </c>
      <c r="AO30" s="29">
        <f>SUM($F$2:F30)</f>
        <v>174400</v>
      </c>
      <c r="AP30" s="29">
        <v>2136796</v>
      </c>
      <c r="AQ30" s="29">
        <v>10</v>
      </c>
      <c r="AR30" s="29">
        <v>8</v>
      </c>
      <c r="AS30" s="37">
        <f>PMT(Table1[[#This Row],[Loan Amount]]/12,Table1[[#This Row],[Interest Rate]],-Table1[[#This Row],[Tenure (Months)]])</f>
        <v>1424530.6666666667</v>
      </c>
      <c r="CF30" t="str">
        <f>IF(COUNTIF(Table1[[#All],[Customer Name]],B2)&gt;1,"Duplicate","Unique")</f>
        <v>Unique</v>
      </c>
      <c r="CG30" t="s">
        <v>457</v>
      </c>
      <c r="CN30" s="41">
        <v>2319065</v>
      </c>
      <c r="CO30" s="41">
        <v>12</v>
      </c>
      <c r="CP30" s="41">
        <v>12</v>
      </c>
      <c r="CQ30" s="40">
        <f>PMT(Table1[[#This Row],[Loan Amount]]/12,Table1[[#This Row],[Interest Rate]],-Table1[[#This Row],[Tenure (Months)]])</f>
        <v>1424530.6666666667</v>
      </c>
    </row>
    <row r="31" spans="1:95">
      <c r="A31" s="17">
        <v>1030</v>
      </c>
      <c r="B31" s="2" t="s">
        <v>75</v>
      </c>
      <c r="C31" s="2" t="s">
        <v>15</v>
      </c>
      <c r="D31" s="2" t="s">
        <v>20</v>
      </c>
      <c r="E31" s="2" t="s">
        <v>76</v>
      </c>
      <c r="F31" s="2">
        <v>3000</v>
      </c>
      <c r="G31" s="2">
        <f>Table1[[#This Row],[Sales]]*0.7</f>
        <v>2100</v>
      </c>
      <c r="H31" s="2">
        <v>1</v>
      </c>
      <c r="I31" s="2">
        <v>0.1</v>
      </c>
      <c r="J31" s="2">
        <f>Table1[[#This Row],[Sales]]-Table1[[#This Row],[Cost]]</f>
        <v>900</v>
      </c>
      <c r="K31" s="3">
        <v>44965</v>
      </c>
      <c r="L31" s="3">
        <v>44973</v>
      </c>
      <c r="M31" s="4">
        <v>2700</v>
      </c>
      <c r="N31" s="27">
        <v>0.13333333333333333</v>
      </c>
      <c r="O31" s="4" t="s">
        <v>127</v>
      </c>
      <c r="P31" s="4" t="s">
        <v>125</v>
      </c>
      <c r="Q31" s="4" t="s">
        <v>120</v>
      </c>
      <c r="R31" s="4" t="s">
        <v>123</v>
      </c>
      <c r="S31" s="4" t="s">
        <v>265</v>
      </c>
      <c r="T31" s="18">
        <v>300</v>
      </c>
      <c r="U31" s="29" t="str">
        <f>IF(Table1[[#This Row],[Profit]]&gt;800,"High Profit","Low Profit")</f>
        <v>High Profit</v>
      </c>
      <c r="V31" s="29" t="str">
        <f>IF(AND(Table1[[#This Row],[Quantity]]&gt;2,Table1[[#This Row],[Discount]]&gt;0.04),"Bulk Deal","Ok Deal")</f>
        <v>Ok Deal</v>
      </c>
      <c r="W31" s="29" t="str">
        <f>IF(OR(Table1[[#This Row],[Region]]="East",Table1[[#This Row],[Region]]="West"),"High Priority Region","Only Region")</f>
        <v>High Priority Region</v>
      </c>
      <c r="X31" s="29" t="str">
        <f>LEFT(Table1[[#This Row],[Product Name]],5)</f>
        <v>Exter</v>
      </c>
      <c r="Y31" s="29">
        <f>MONTH(Table1[[#This Row],[Order Date]])</f>
        <v>2</v>
      </c>
      <c r="Z31" s="29" t="str">
        <f>RIGHT(Table1[[#This Row],[Customer Name]],LEN(Table1[[#This Row],[Customer Name]])-FIND(" ",Table1[[#This Row],[Customer Name]])) &amp; ",  " &amp; LEFT(Table1[[#This Row],[Customer Name]],FIND(" ",Table1[[#This Row],[Customer Name]])-1)</f>
        <v>Lewis,  Daniel</v>
      </c>
      <c r="AA31" s="30">
        <f>Table1[[#This Row],[Order Date]]-10</f>
        <v>44955</v>
      </c>
      <c r="AB31" s="29" t="str">
        <f>TEXT(Table1[[#This Row],[Discount]],"0%")</f>
        <v>10%</v>
      </c>
      <c r="AC31" s="30">
        <f t="shared" si="0"/>
        <v>44975</v>
      </c>
      <c r="AD31" s="29">
        <f>YEAR(Table1[[#This Row],[Order Date]])</f>
        <v>2023</v>
      </c>
      <c r="AE31" s="30">
        <v>36506</v>
      </c>
      <c r="AF31" s="29">
        <f ca="1">DATEDIF(Table1[[#This Row],[Birthdate]],TODAY(),"Y")</f>
        <v>26</v>
      </c>
      <c r="AG31" s="29">
        <f>WEEKNUM(Table1[[#This Row],[Order Date]])</f>
        <v>6</v>
      </c>
      <c r="AH31" s="29">
        <f>NETWORKDAYS(Table1[[#This Row],[Order Date]],Table1[[#This Row],[Delivery Date]])</f>
        <v>7</v>
      </c>
      <c r="AI31" s="29">
        <f>WEEKDAY(Table1[[#This Row],[Order Date]])</f>
        <v>4</v>
      </c>
      <c r="AJ31" s="31" t="str">
        <f ca="1">IF(Table1[[#This Row],[Order Date]]&lt;TODAY(),"Old Order","New Order")</f>
        <v>Old Order</v>
      </c>
      <c r="AK31" s="29">
        <f ca="1">RANK(Table1[[#This Row],[Sales]],Table1[[#All],[Order ID]:[OrderDate]])</f>
        <v>310</v>
      </c>
      <c r="AL31" s="7">
        <f ca="1">SUM(OFFSET(K31,10,0,COUNTA(Table1[[#All],[Sales]])-1))</f>
        <v>494780</v>
      </c>
      <c r="AM31" s="30">
        <f t="shared" si="1"/>
        <v>44966</v>
      </c>
      <c r="AN31" s="29" t="str" cm="1">
        <f t="array" ref="AN31">_xlfn.IFS(Table1[[#This Row],[Profit]]&gt;3000,"A",Table1[[#This Row],[Profit]]&gt;1000,"B",Table1[[#This Row],[Profit]]&gt;500,"C",TRUE,"D")</f>
        <v>C</v>
      </c>
      <c r="AO31" s="29">
        <f>SUM($F$2:F31)</f>
        <v>177400</v>
      </c>
      <c r="AP31" s="29">
        <v>2006126</v>
      </c>
      <c r="AQ31" s="29">
        <v>9</v>
      </c>
      <c r="AR31" s="29">
        <v>5</v>
      </c>
      <c r="AS31" s="37">
        <f>PMT(Table1[[#This Row],[Loan Amount]]/12,Table1[[#This Row],[Interest Rate]],-Table1[[#This Row],[Tenure (Months)]])</f>
        <v>835885.83333333326</v>
      </c>
      <c r="CF31" s="7"/>
      <c r="CN31" s="39">
        <v>2355476</v>
      </c>
      <c r="CO31" s="39">
        <v>10</v>
      </c>
      <c r="CP31" s="39">
        <v>5</v>
      </c>
      <c r="CQ31" s="40">
        <f>PMT(Table1[[#This Row],[Loan Amount]]/12,Table1[[#This Row],[Interest Rate]],-Table1[[#This Row],[Tenure (Months)]])</f>
        <v>835885.83333333326</v>
      </c>
    </row>
    <row r="32" spans="1:95">
      <c r="A32" s="17">
        <v>1031</v>
      </c>
      <c r="B32" s="2" t="s">
        <v>77</v>
      </c>
      <c r="C32" s="2" t="s">
        <v>19</v>
      </c>
      <c r="D32" s="2" t="s">
        <v>12</v>
      </c>
      <c r="E32" s="2" t="s">
        <v>30</v>
      </c>
      <c r="F32" s="2">
        <v>2500</v>
      </c>
      <c r="G32" s="2">
        <f>Table1[[#This Row],[Sales]]*0.7</f>
        <v>1750</v>
      </c>
      <c r="H32" s="2">
        <v>1</v>
      </c>
      <c r="I32" s="2">
        <v>0.05</v>
      </c>
      <c r="J32" s="2">
        <f>Table1[[#This Row],[Sales]]-Table1[[#This Row],[Cost]]</f>
        <v>750</v>
      </c>
      <c r="K32" s="3">
        <v>44966</v>
      </c>
      <c r="L32" s="3">
        <v>44975</v>
      </c>
      <c r="M32" s="4">
        <v>2375</v>
      </c>
      <c r="N32" s="27">
        <v>0.16</v>
      </c>
      <c r="O32" s="4" t="s">
        <v>127</v>
      </c>
      <c r="P32" s="4" t="s">
        <v>119</v>
      </c>
      <c r="Q32" s="4" t="s">
        <v>115</v>
      </c>
      <c r="R32" s="4" t="s">
        <v>116</v>
      </c>
      <c r="S32" s="4" t="s">
        <v>265</v>
      </c>
      <c r="T32" s="18">
        <v>125</v>
      </c>
      <c r="U32" s="29" t="str">
        <f>IF(Table1[[#This Row],[Profit]]&gt;800,"High Profit","Low Profit")</f>
        <v>Low Profit</v>
      </c>
      <c r="V32" s="29" t="str">
        <f>IF(AND(Table1[[#This Row],[Quantity]]&gt;2,Table1[[#This Row],[Discount]]&gt;0.04),"Bulk Deal","Ok Deal")</f>
        <v>Ok Deal</v>
      </c>
      <c r="W32" s="29" t="str">
        <f>IF(OR(Table1[[#This Row],[Region]]="East",Table1[[#This Row],[Region]]="West"),"High Priority Region","Only Region")</f>
        <v>Only Region</v>
      </c>
      <c r="X32" s="29" t="str">
        <f>LEFT(Table1[[#This Row],[Product Name]],5)</f>
        <v>Cabin</v>
      </c>
      <c r="Y32" s="29">
        <f>MONTH(Table1[[#This Row],[Order Date]])</f>
        <v>2</v>
      </c>
      <c r="Z32" s="29" t="str">
        <f>RIGHT(Table1[[#This Row],[Customer Name]],LEN(Table1[[#This Row],[Customer Name]])-FIND(" ",Table1[[#This Row],[Customer Name]])) &amp; ",  " &amp; LEFT(Table1[[#This Row],[Customer Name]],FIND(" ",Table1[[#This Row],[Customer Name]])-1)</f>
        <v>Adams,  Ella</v>
      </c>
      <c r="AA32" s="30">
        <f>Table1[[#This Row],[Order Date]]-10</f>
        <v>44956</v>
      </c>
      <c r="AB32" s="29" t="str">
        <f>TEXT(Table1[[#This Row],[Discount]],"0%")</f>
        <v>5%</v>
      </c>
      <c r="AC32" s="30">
        <f t="shared" si="0"/>
        <v>44976</v>
      </c>
      <c r="AD32" s="29">
        <f>YEAR(Table1[[#This Row],[Order Date]])</f>
        <v>2023</v>
      </c>
      <c r="AE32" s="30">
        <v>31209</v>
      </c>
      <c r="AF32" s="29">
        <f ca="1">DATEDIF(Table1[[#This Row],[Birthdate]],TODAY(),"Y")</f>
        <v>40</v>
      </c>
      <c r="AG32" s="29">
        <f>WEEKNUM(Table1[[#This Row],[Order Date]])</f>
        <v>6</v>
      </c>
      <c r="AH32" s="29">
        <f>NETWORKDAYS(Table1[[#This Row],[Order Date]],Table1[[#This Row],[Delivery Date]])</f>
        <v>7</v>
      </c>
      <c r="AI32" s="29">
        <f>WEEKDAY(Table1[[#This Row],[Order Date]])</f>
        <v>5</v>
      </c>
      <c r="AJ32" s="31" t="str">
        <f ca="1">IF(Table1[[#This Row],[Order Date]]&lt;TODAY(),"Old Order","New Order")</f>
        <v>Old Order</v>
      </c>
      <c r="AK32" s="29">
        <f ca="1">RANK(Table1[[#This Row],[Sales]],Table1[[#All],[Order ID]:[OrderDate]])</f>
        <v>321</v>
      </c>
      <c r="AL32" s="7">
        <f ca="1">SUM(OFFSET(K32,10,0,COUNTA(Table1[[#All],[Sales]])-1))</f>
        <v>449805</v>
      </c>
      <c r="AM32" s="30">
        <f t="shared" si="1"/>
        <v>44967</v>
      </c>
      <c r="AN32" s="29" t="str" cm="1">
        <f t="array" ref="AN32">_xlfn.IFS(Table1[[#This Row],[Profit]]&gt;3000,"A",Table1[[#This Row],[Profit]]&gt;1000,"B",Table1[[#This Row],[Profit]]&gt;500,"C",TRUE,"D")</f>
        <v>C</v>
      </c>
      <c r="AO32" s="29">
        <f>SUM($F$2:F32)</f>
        <v>179900</v>
      </c>
      <c r="AP32" s="29">
        <v>1336756</v>
      </c>
      <c r="AQ32" s="29">
        <v>8</v>
      </c>
      <c r="AR32" s="29">
        <v>12</v>
      </c>
      <c r="AS32" s="37">
        <f>PMT(Table1[[#This Row],[Loan Amount]]/12,Table1[[#This Row],[Interest Rate]],-Table1[[#This Row],[Tenure (Months)]])</f>
        <v>1336756</v>
      </c>
      <c r="AU32" s="7" t="s">
        <v>253</v>
      </c>
      <c r="AY32" s="7" t="s">
        <v>259</v>
      </c>
      <c r="CN32" s="41">
        <v>1921952</v>
      </c>
      <c r="CO32" s="41">
        <v>11</v>
      </c>
      <c r="CP32" s="41">
        <v>5</v>
      </c>
      <c r="CQ32" s="40">
        <f>PMT(Table1[[#This Row],[Loan Amount]]/12,Table1[[#This Row],[Interest Rate]],-Table1[[#This Row],[Tenure (Months)]])</f>
        <v>1336756</v>
      </c>
    </row>
    <row r="33" spans="1:95">
      <c r="A33" s="17">
        <v>1032</v>
      </c>
      <c r="B33" s="2" t="s">
        <v>78</v>
      </c>
      <c r="C33" s="2" t="s">
        <v>23</v>
      </c>
      <c r="D33" s="2" t="s">
        <v>16</v>
      </c>
      <c r="E33" s="2" t="s">
        <v>79</v>
      </c>
      <c r="F33" s="2">
        <v>80</v>
      </c>
      <c r="G33" s="2">
        <f>Table1[[#This Row],[Sales]]*0.7</f>
        <v>56</v>
      </c>
      <c r="H33" s="2">
        <v>2</v>
      </c>
      <c r="I33" s="2">
        <v>0</v>
      </c>
      <c r="J33" s="2">
        <f>Table1[[#This Row],[Sales]]-Table1[[#This Row],[Cost]]</f>
        <v>24</v>
      </c>
      <c r="K33" s="3">
        <v>44967</v>
      </c>
      <c r="L33" s="3">
        <v>44969</v>
      </c>
      <c r="M33" s="4">
        <v>80</v>
      </c>
      <c r="N33" s="27">
        <v>0.1875</v>
      </c>
      <c r="O33" s="4" t="s">
        <v>127</v>
      </c>
      <c r="P33" s="4" t="s">
        <v>126</v>
      </c>
      <c r="Q33" s="4" t="s">
        <v>118</v>
      </c>
      <c r="R33" s="4" t="s">
        <v>116</v>
      </c>
      <c r="S33" s="4" t="s">
        <v>264</v>
      </c>
      <c r="T33" s="18">
        <v>0</v>
      </c>
      <c r="U33" s="29" t="str">
        <f>IF(Table1[[#This Row],[Profit]]&gt;800,"High Profit","Low Profit")</f>
        <v>Low Profit</v>
      </c>
      <c r="V33" s="29" t="str">
        <f>IF(AND(Table1[[#This Row],[Quantity]]&gt;2,Table1[[#This Row],[Discount]]&gt;0.04),"Bulk Deal","Ok Deal")</f>
        <v>Ok Deal</v>
      </c>
      <c r="W33" s="29" t="str">
        <f>IF(OR(Table1[[#This Row],[Region]]="East",Table1[[#This Row],[Region]]="West"),"High Priority Region","Only Region")</f>
        <v>Only Region</v>
      </c>
      <c r="X33" s="29" t="str">
        <f>LEFT(Table1[[#This Row],[Product Name]],5)</f>
        <v>Tape</v>
      </c>
      <c r="Y33" s="29">
        <f>MONTH(Table1[[#This Row],[Order Date]])</f>
        <v>2</v>
      </c>
      <c r="Z33" s="29" t="str">
        <f>RIGHT(Table1[[#This Row],[Customer Name]],LEN(Table1[[#This Row],[Customer Name]])-FIND(" ",Table1[[#This Row],[Customer Name]])) &amp; ",  " &amp; LEFT(Table1[[#This Row],[Customer Name]],FIND(" ",Table1[[#This Row],[Customer Name]])-1)</f>
        <v>Clark,  Finn</v>
      </c>
      <c r="AA33" s="30">
        <f>Table1[[#This Row],[Order Date]]-10</f>
        <v>44957</v>
      </c>
      <c r="AB33" s="29" t="str">
        <f>TEXT(Table1[[#This Row],[Discount]],"0%")</f>
        <v>0%</v>
      </c>
      <c r="AC33" s="30">
        <f t="shared" si="0"/>
        <v>44977</v>
      </c>
      <c r="AD33" s="29">
        <f>YEAR(Table1[[#This Row],[Order Date]])</f>
        <v>2023</v>
      </c>
      <c r="AE33" s="30">
        <v>31446</v>
      </c>
      <c r="AF33" s="29">
        <f ca="1">DATEDIF(Table1[[#This Row],[Birthdate]],TODAY(),"Y")</f>
        <v>39</v>
      </c>
      <c r="AG33" s="29">
        <f>WEEKNUM(Table1[[#This Row],[Order Date]])</f>
        <v>6</v>
      </c>
      <c r="AH33" s="29">
        <f>NETWORKDAYS(Table1[[#This Row],[Order Date]],Table1[[#This Row],[Delivery Date]])</f>
        <v>1</v>
      </c>
      <c r="AI33" s="29">
        <f>WEEKDAY(Table1[[#This Row],[Order Date]])</f>
        <v>6</v>
      </c>
      <c r="AJ33" s="31" t="str">
        <f ca="1">IF(Table1[[#This Row],[Order Date]]&lt;TODAY(),"Old Order","New Order")</f>
        <v>Old Order</v>
      </c>
      <c r="AK33" s="29">
        <f ca="1">RANK(Table1[[#This Row],[Sales]],Table1[[#All],[Order ID]:[OrderDate]])</f>
        <v>547</v>
      </c>
      <c r="AL33" s="7">
        <f ca="1">SUM(OFFSET(K33,10,0,COUNTA(Table1[[#All],[Sales]])-1))</f>
        <v>404829</v>
      </c>
      <c r="AM33" s="30">
        <f t="shared" si="1"/>
        <v>44968</v>
      </c>
      <c r="AN33" s="29" t="str" cm="1">
        <f t="array" ref="AN33">_xlfn.IFS(Table1[[#This Row],[Profit]]&gt;3000,"A",Table1[[#This Row],[Profit]]&gt;1000,"B",Table1[[#This Row],[Profit]]&gt;500,"C",TRUE,"D")</f>
        <v>D</v>
      </c>
      <c r="AO33" s="29">
        <f>SUM($F$2:F33)</f>
        <v>179980</v>
      </c>
      <c r="AP33" s="29">
        <v>2085696</v>
      </c>
      <c r="AQ33" s="29">
        <v>12</v>
      </c>
      <c r="AR33" s="29">
        <v>9</v>
      </c>
      <c r="AS33" s="37">
        <f>PMT(Table1[[#This Row],[Loan Amount]]/12,Table1[[#This Row],[Interest Rate]],-Table1[[#This Row],[Tenure (Months)]])</f>
        <v>1564272</v>
      </c>
      <c r="AU33" s="7" t="s">
        <v>254</v>
      </c>
      <c r="AY33" s="7" t="s">
        <v>491</v>
      </c>
      <c r="CN33" s="39">
        <v>2000350</v>
      </c>
      <c r="CO33" s="39">
        <v>8</v>
      </c>
      <c r="CP33" s="39">
        <v>6</v>
      </c>
      <c r="CQ33" s="40">
        <f>PMT(Table1[[#This Row],[Loan Amount]]/12,Table1[[#This Row],[Interest Rate]],-Table1[[#This Row],[Tenure (Months)]])</f>
        <v>1564272</v>
      </c>
    </row>
    <row r="34" spans="1:95">
      <c r="A34" s="17">
        <v>1033</v>
      </c>
      <c r="B34" s="2" t="s">
        <v>80</v>
      </c>
      <c r="C34" s="2" t="s">
        <v>11</v>
      </c>
      <c r="D34" s="2" t="s">
        <v>20</v>
      </c>
      <c r="E34" s="2" t="s">
        <v>81</v>
      </c>
      <c r="F34" s="2">
        <v>2000</v>
      </c>
      <c r="G34" s="2">
        <f>Table1[[#This Row],[Sales]]*0.7</f>
        <v>1400</v>
      </c>
      <c r="H34" s="2">
        <v>1</v>
      </c>
      <c r="I34" s="2">
        <v>0</v>
      </c>
      <c r="J34" s="2">
        <f>Table1[[#This Row],[Sales]]-Table1[[#This Row],[Cost]]</f>
        <v>600</v>
      </c>
      <c r="K34" s="3">
        <v>44968</v>
      </c>
      <c r="L34" s="3">
        <v>44975</v>
      </c>
      <c r="M34" s="4">
        <v>2000</v>
      </c>
      <c r="N34" s="27">
        <v>0.125</v>
      </c>
      <c r="O34" s="4" t="s">
        <v>127</v>
      </c>
      <c r="P34" s="4" t="s">
        <v>122</v>
      </c>
      <c r="Q34" s="4" t="s">
        <v>120</v>
      </c>
      <c r="R34" s="4" t="s">
        <v>116</v>
      </c>
      <c r="S34" s="4" t="s">
        <v>265</v>
      </c>
      <c r="T34" s="18">
        <v>0</v>
      </c>
      <c r="U34" s="29" t="str">
        <f>IF(Table1[[#This Row],[Profit]]&gt;800,"High Profit","Low Profit")</f>
        <v>Low Profit</v>
      </c>
      <c r="V34" s="29" t="str">
        <f>IF(AND(Table1[[#This Row],[Quantity]]&gt;2,Table1[[#This Row],[Discount]]&gt;0.04),"Bulk Deal","Ok Deal")</f>
        <v>Ok Deal</v>
      </c>
      <c r="W34" s="29" t="str">
        <f>IF(OR(Table1[[#This Row],[Region]]="East",Table1[[#This Row],[Region]]="West"),"High Priority Region","Only Region")</f>
        <v>High Priority Region</v>
      </c>
      <c r="X34" s="29" t="str">
        <f>LEFT(Table1[[#This Row],[Product Name]],5)</f>
        <v>Smart</v>
      </c>
      <c r="Y34" s="29">
        <f>MONTH(Table1[[#This Row],[Order Date]])</f>
        <v>2</v>
      </c>
      <c r="Z34" s="29" t="str">
        <f>RIGHT(Table1[[#This Row],[Customer Name]],LEN(Table1[[#This Row],[Customer Name]])-FIND(" ",Table1[[#This Row],[Customer Name]])) &amp; ",  " &amp; LEFT(Table1[[#This Row],[Customer Name]],FIND(" ",Table1[[#This Row],[Customer Name]])-1)</f>
        <v>Baker,  Gina</v>
      </c>
      <c r="AA34" s="30">
        <f>Table1[[#This Row],[Order Date]]-10</f>
        <v>44958</v>
      </c>
      <c r="AB34" s="29" t="str">
        <f>TEXT(Table1[[#This Row],[Discount]],"0%")</f>
        <v>0%</v>
      </c>
      <c r="AC34" s="30">
        <f t="shared" si="0"/>
        <v>44978</v>
      </c>
      <c r="AD34" s="29">
        <f>YEAR(Table1[[#This Row],[Order Date]])</f>
        <v>2023</v>
      </c>
      <c r="AE34" s="30">
        <v>31085</v>
      </c>
      <c r="AF34" s="29">
        <f ca="1">DATEDIF(Table1[[#This Row],[Birthdate]],TODAY(),"Y")</f>
        <v>40</v>
      </c>
      <c r="AG34" s="29">
        <f>WEEKNUM(Table1[[#This Row],[Order Date]])</f>
        <v>6</v>
      </c>
      <c r="AH34" s="29">
        <f>NETWORKDAYS(Table1[[#This Row],[Order Date]],Table1[[#This Row],[Delivery Date]])</f>
        <v>5</v>
      </c>
      <c r="AI34" s="29">
        <f>WEEKDAY(Table1[[#This Row],[Order Date]])</f>
        <v>7</v>
      </c>
      <c r="AJ34" s="31" t="str">
        <f ca="1">IF(Table1[[#This Row],[Order Date]]&lt;TODAY(),"Old Order","New Order")</f>
        <v>Old Order</v>
      </c>
      <c r="AK34" s="29">
        <f ca="1">RANK(Table1[[#This Row],[Sales]],Table1[[#All],[Order ID]:[OrderDate]])</f>
        <v>381</v>
      </c>
      <c r="AL34" s="7">
        <f ca="1">SUM(OFFSET(K34,10,0,COUNTA(Table1[[#All],[Sales]])-1))</f>
        <v>359852</v>
      </c>
      <c r="AM34" s="30">
        <f t="shared" si="1"/>
        <v>44969</v>
      </c>
      <c r="AN34" s="29" t="str" cm="1">
        <f t="array" ref="AN34">_xlfn.IFS(Table1[[#This Row],[Profit]]&gt;3000,"A",Table1[[#This Row],[Profit]]&gt;1000,"B",Table1[[#This Row],[Profit]]&gt;500,"C",TRUE,"D")</f>
        <v>C</v>
      </c>
      <c r="AO34" s="29">
        <f>SUM($F$2:F34)</f>
        <v>181980</v>
      </c>
      <c r="AP34" s="29">
        <v>1051688</v>
      </c>
      <c r="AQ34" s="29">
        <v>8</v>
      </c>
      <c r="AR34" s="29">
        <v>8</v>
      </c>
      <c r="AS34" s="37">
        <f>PMT(Table1[[#This Row],[Loan Amount]]/12,Table1[[#This Row],[Interest Rate]],-Table1[[#This Row],[Tenure (Months)]])</f>
        <v>701125.33333333337</v>
      </c>
      <c r="AU34" s="7" t="s">
        <v>255</v>
      </c>
      <c r="AY34" s="7" t="s">
        <v>261</v>
      </c>
      <c r="CN34" s="41">
        <v>1802551</v>
      </c>
      <c r="CO34" s="41">
        <v>12</v>
      </c>
      <c r="CP34" s="41">
        <v>11</v>
      </c>
      <c r="CQ34" s="40">
        <f>PMT(Table1[[#This Row],[Loan Amount]]/12,Table1[[#This Row],[Interest Rate]],-Table1[[#This Row],[Tenure (Months)]])</f>
        <v>701125.33333333337</v>
      </c>
    </row>
    <row r="35" spans="1:95">
      <c r="A35" s="17">
        <v>1034</v>
      </c>
      <c r="B35" s="2" t="s">
        <v>82</v>
      </c>
      <c r="C35" s="2" t="s">
        <v>15</v>
      </c>
      <c r="D35" s="2" t="s">
        <v>12</v>
      </c>
      <c r="E35" s="2" t="s">
        <v>83</v>
      </c>
      <c r="F35" s="2">
        <v>10000</v>
      </c>
      <c r="G35" s="2">
        <f>Table1[[#This Row],[Sales]]*0.7</f>
        <v>7000</v>
      </c>
      <c r="H35" s="2">
        <v>1</v>
      </c>
      <c r="I35" s="2">
        <v>0.15</v>
      </c>
      <c r="J35" s="2">
        <f>Table1[[#This Row],[Sales]]-Table1[[#This Row],[Cost]]</f>
        <v>3000</v>
      </c>
      <c r="K35" s="3">
        <v>44969</v>
      </c>
      <c r="L35" s="3">
        <v>44971</v>
      </c>
      <c r="M35" s="4">
        <v>8500</v>
      </c>
      <c r="N35" s="27">
        <v>0.18</v>
      </c>
      <c r="O35" s="4" t="s">
        <v>127</v>
      </c>
      <c r="P35" s="4" t="s">
        <v>114</v>
      </c>
      <c r="Q35" s="4" t="s">
        <v>115</v>
      </c>
      <c r="R35" s="4" t="s">
        <v>123</v>
      </c>
      <c r="S35" s="4" t="s">
        <v>264</v>
      </c>
      <c r="T35" s="18">
        <v>1500</v>
      </c>
      <c r="U35" s="29" t="str">
        <f>IF(Table1[[#This Row],[Profit]]&gt;800,"High Profit","Low Profit")</f>
        <v>High Profit</v>
      </c>
      <c r="V35" s="29" t="str">
        <f>IF(AND(Table1[[#This Row],[Quantity]]&gt;2,Table1[[#This Row],[Discount]]&gt;0.04),"Bulk Deal","Ok Deal")</f>
        <v>Ok Deal</v>
      </c>
      <c r="W35" s="29" t="str">
        <f>IF(OR(Table1[[#This Row],[Region]]="East",Table1[[#This Row],[Region]]="West"),"High Priority Region","Only Region")</f>
        <v>High Priority Region</v>
      </c>
      <c r="X35" s="29" t="str">
        <f>LEFT(Table1[[#This Row],[Product Name]],5)</f>
        <v>Bed F</v>
      </c>
      <c r="Y35" s="29">
        <f>MONTH(Table1[[#This Row],[Order Date]])</f>
        <v>2</v>
      </c>
      <c r="Z35" s="29" t="str">
        <f>RIGHT(Table1[[#This Row],[Customer Name]],LEN(Table1[[#This Row],[Customer Name]])-FIND(" ",Table1[[#This Row],[Customer Name]])) &amp; ",  " &amp; LEFT(Table1[[#This Row],[Customer Name]],FIND(" ",Table1[[#This Row],[Customer Name]])-1)</f>
        <v>King,  Harry</v>
      </c>
      <c r="AA35" s="30">
        <f>Table1[[#This Row],[Order Date]]-10</f>
        <v>44959</v>
      </c>
      <c r="AB35" s="29" t="str">
        <f>TEXT(Table1[[#This Row],[Discount]],"0%")</f>
        <v>15%</v>
      </c>
      <c r="AC35" s="30">
        <f t="shared" si="0"/>
        <v>44979</v>
      </c>
      <c r="AD35" s="29">
        <f>YEAR(Table1[[#This Row],[Order Date]])</f>
        <v>2023</v>
      </c>
      <c r="AE35" s="30">
        <v>37091</v>
      </c>
      <c r="AF35" s="29">
        <f ca="1">DATEDIF(Table1[[#This Row],[Birthdate]],TODAY(),"Y")</f>
        <v>24</v>
      </c>
      <c r="AG35" s="29">
        <f>WEEKNUM(Table1[[#This Row],[Order Date]])</f>
        <v>7</v>
      </c>
      <c r="AH35" s="29">
        <f>NETWORKDAYS(Table1[[#This Row],[Order Date]],Table1[[#This Row],[Delivery Date]])</f>
        <v>2</v>
      </c>
      <c r="AI35" s="29">
        <f>WEEKDAY(Table1[[#This Row],[Order Date]])</f>
        <v>1</v>
      </c>
      <c r="AJ35" s="31" t="str">
        <f ca="1">IF(Table1[[#This Row],[Order Date]]&lt;TODAY(),"Old Order","New Order")</f>
        <v>Old Order</v>
      </c>
      <c r="AK35" s="29">
        <f ca="1">RANK(Table1[[#This Row],[Sales]],Table1[[#All],[Order ID]:[OrderDate]])</f>
        <v>275</v>
      </c>
      <c r="AL35" s="7">
        <f ca="1">SUM(OFFSET(K35,10,0,COUNTA(Table1[[#All],[Sales]])-1))</f>
        <v>314874</v>
      </c>
      <c r="AM35" s="30">
        <f t="shared" si="1"/>
        <v>44970</v>
      </c>
      <c r="AN35" s="29" t="str" cm="1">
        <f t="array" ref="AN35">_xlfn.IFS(Table1[[#This Row],[Profit]]&gt;3000,"A",Table1[[#This Row],[Profit]]&gt;1000,"B",Table1[[#This Row],[Profit]]&gt;500,"C",TRUE,"D")</f>
        <v>B</v>
      </c>
      <c r="AO35" s="29">
        <f>SUM($F$2:F35)</f>
        <v>191980</v>
      </c>
      <c r="AP35" s="29">
        <v>2165434</v>
      </c>
      <c r="AQ35" s="29">
        <v>8</v>
      </c>
      <c r="AR35" s="29">
        <v>10</v>
      </c>
      <c r="AS35" s="37">
        <f>PMT(Table1[[#This Row],[Loan Amount]]/12,Table1[[#This Row],[Interest Rate]],-Table1[[#This Row],[Tenure (Months)]])</f>
        <v>1804528.3333333335</v>
      </c>
      <c r="AU35" s="7" t="s">
        <v>256</v>
      </c>
      <c r="AY35" s="7" t="s">
        <v>262</v>
      </c>
      <c r="CN35" s="39">
        <v>1720425</v>
      </c>
      <c r="CO35" s="39">
        <v>12</v>
      </c>
      <c r="CP35" s="39">
        <v>10</v>
      </c>
      <c r="CQ35" s="40">
        <f>PMT(Table1[[#This Row],[Loan Amount]]/12,Table1[[#This Row],[Interest Rate]],-Table1[[#This Row],[Tenure (Months)]])</f>
        <v>1804528.3333333335</v>
      </c>
    </row>
    <row r="36" spans="1:95">
      <c r="A36" s="17">
        <v>1035</v>
      </c>
      <c r="B36" s="2" t="s">
        <v>84</v>
      </c>
      <c r="C36" s="2" t="s">
        <v>19</v>
      </c>
      <c r="D36" s="2" t="s">
        <v>16</v>
      </c>
      <c r="E36" s="2" t="s">
        <v>85</v>
      </c>
      <c r="F36" s="2">
        <v>150</v>
      </c>
      <c r="G36" s="2">
        <f>Table1[[#This Row],[Sales]]*0.7</f>
        <v>105</v>
      </c>
      <c r="H36" s="2">
        <v>3</v>
      </c>
      <c r="I36" s="2">
        <v>0</v>
      </c>
      <c r="J36" s="2">
        <f>Table1[[#This Row],[Sales]]-Table1[[#This Row],[Cost]]</f>
        <v>45</v>
      </c>
      <c r="K36" s="3">
        <v>44970</v>
      </c>
      <c r="L36" s="3">
        <v>44979</v>
      </c>
      <c r="M36" s="4">
        <v>150</v>
      </c>
      <c r="N36" s="27">
        <v>0.16666666666666666</v>
      </c>
      <c r="O36" s="4" t="s">
        <v>127</v>
      </c>
      <c r="P36" s="4" t="s">
        <v>124</v>
      </c>
      <c r="Q36" s="4" t="s">
        <v>118</v>
      </c>
      <c r="R36" s="4" t="s">
        <v>116</v>
      </c>
      <c r="S36" s="4" t="s">
        <v>265</v>
      </c>
      <c r="T36" s="18">
        <v>0</v>
      </c>
      <c r="U36" s="29" t="str">
        <f>IF(Table1[[#This Row],[Profit]]&gt;800,"High Profit","Low Profit")</f>
        <v>Low Profit</v>
      </c>
      <c r="V36" s="29" t="str">
        <f>IF(AND(Table1[[#This Row],[Quantity]]&gt;2,Table1[[#This Row],[Discount]]&gt;0.04),"Bulk Deal","Ok Deal")</f>
        <v>Ok Deal</v>
      </c>
      <c r="W36" s="29" t="str">
        <f>IF(OR(Table1[[#This Row],[Region]]="East",Table1[[#This Row],[Region]]="West"),"High Priority Region","Only Region")</f>
        <v>Only Region</v>
      </c>
      <c r="X36" s="29" t="str">
        <f>LEFT(Table1[[#This Row],[Product Name]],5)</f>
        <v>Print</v>
      </c>
      <c r="Y36" s="29">
        <f>MONTH(Table1[[#This Row],[Order Date]])</f>
        <v>2</v>
      </c>
      <c r="Z36" s="29" t="str">
        <f>RIGHT(Table1[[#This Row],[Customer Name]],LEN(Table1[[#This Row],[Customer Name]])-FIND(" ",Table1[[#This Row],[Customer Name]])) &amp; ",  " &amp; LEFT(Table1[[#This Row],[Customer Name]],FIND(" ",Table1[[#This Row],[Customer Name]])-1)</f>
        <v>Hall,  Isla</v>
      </c>
      <c r="AA36" s="30">
        <f>Table1[[#This Row],[Order Date]]-10</f>
        <v>44960</v>
      </c>
      <c r="AB36" s="29" t="str">
        <f>TEXT(Table1[[#This Row],[Discount]],"0%")</f>
        <v>0%</v>
      </c>
      <c r="AC36" s="30">
        <f t="shared" si="0"/>
        <v>44980</v>
      </c>
      <c r="AD36" s="29">
        <f>YEAR(Table1[[#This Row],[Order Date]])</f>
        <v>2023</v>
      </c>
      <c r="AE36" s="30">
        <v>34923</v>
      </c>
      <c r="AF36" s="29">
        <f ca="1">DATEDIF(Table1[[#This Row],[Birthdate]],TODAY(),"Y")</f>
        <v>30</v>
      </c>
      <c r="AG36" s="29">
        <f>WEEKNUM(Table1[[#This Row],[Order Date]])</f>
        <v>7</v>
      </c>
      <c r="AH36" s="29">
        <f>NETWORKDAYS(Table1[[#This Row],[Order Date]],Table1[[#This Row],[Delivery Date]])</f>
        <v>8</v>
      </c>
      <c r="AI36" s="29">
        <f>WEEKDAY(Table1[[#This Row],[Order Date]])</f>
        <v>2</v>
      </c>
      <c r="AJ36" s="31" t="str">
        <f ca="1">IF(Table1[[#This Row],[Order Date]]&lt;TODAY(),"Old Order","New Order")</f>
        <v>Old Order</v>
      </c>
      <c r="AK36" s="29">
        <f ca="1">RANK(Table1[[#This Row],[Sales]],Table1[[#All],[Order ID]:[OrderDate]])</f>
        <v>515</v>
      </c>
      <c r="AL36" s="7">
        <f ca="1">SUM(OFFSET(K36,10,0,COUNTA(Table1[[#All],[Sales]])-1))</f>
        <v>269895</v>
      </c>
      <c r="AM36" s="30">
        <f t="shared" si="1"/>
        <v>44971</v>
      </c>
      <c r="AN36" s="29" t="str" cm="1">
        <f t="array" ref="AN36">_xlfn.IFS(Table1[[#This Row],[Profit]]&gt;3000,"A",Table1[[#This Row],[Profit]]&gt;1000,"B",Table1[[#This Row],[Profit]]&gt;500,"C",TRUE,"D")</f>
        <v>D</v>
      </c>
      <c r="AO36" s="29">
        <f>SUM($F$2:F36)</f>
        <v>192130</v>
      </c>
      <c r="AP36" s="29">
        <v>2344803</v>
      </c>
      <c r="AQ36" s="29">
        <v>10</v>
      </c>
      <c r="AR36" s="29">
        <v>8</v>
      </c>
      <c r="AS36" s="37">
        <f>PMT(Table1[[#This Row],[Loan Amount]]/12,Table1[[#This Row],[Interest Rate]],-Table1[[#This Row],[Tenure (Months)]])</f>
        <v>1563202</v>
      </c>
      <c r="AU36" s="7" t="s">
        <v>257</v>
      </c>
      <c r="AY36" s="7" t="s">
        <v>263</v>
      </c>
      <c r="CN36" s="41">
        <v>1801671</v>
      </c>
      <c r="CO36" s="41">
        <v>8</v>
      </c>
      <c r="CP36" s="41">
        <v>12</v>
      </c>
      <c r="CQ36" s="40">
        <f>PMT(Table1[[#This Row],[Loan Amount]]/12,Table1[[#This Row],[Interest Rate]],-Table1[[#This Row],[Tenure (Months)]])</f>
        <v>1563202</v>
      </c>
    </row>
    <row r="37" spans="1:95">
      <c r="A37" s="17">
        <v>1036</v>
      </c>
      <c r="B37" s="2" t="s">
        <v>86</v>
      </c>
      <c r="C37" s="2" t="s">
        <v>23</v>
      </c>
      <c r="D37" s="2" t="s">
        <v>20</v>
      </c>
      <c r="E37" s="2" t="s">
        <v>87</v>
      </c>
      <c r="F37" s="2">
        <v>8000</v>
      </c>
      <c r="G37" s="2">
        <f>Table1[[#This Row],[Sales]]*0.7</f>
        <v>5600</v>
      </c>
      <c r="H37" s="2">
        <v>1</v>
      </c>
      <c r="I37" s="2">
        <v>0.1</v>
      </c>
      <c r="J37" s="2">
        <f>Table1[[#This Row],[Sales]]-Table1[[#This Row],[Cost]]</f>
        <v>2400</v>
      </c>
      <c r="K37" s="3">
        <v>44971</v>
      </c>
      <c r="L37" s="3">
        <v>44981</v>
      </c>
      <c r="M37" s="4">
        <v>7200</v>
      </c>
      <c r="N37" s="27">
        <v>0.125</v>
      </c>
      <c r="O37" s="4" t="s">
        <v>127</v>
      </c>
      <c r="P37" s="4" t="s">
        <v>117</v>
      </c>
      <c r="Q37" s="4" t="s">
        <v>120</v>
      </c>
      <c r="R37" s="4" t="s">
        <v>123</v>
      </c>
      <c r="S37" s="4" t="s">
        <v>265</v>
      </c>
      <c r="T37" s="18">
        <v>800</v>
      </c>
      <c r="U37" s="29" t="str">
        <f>IF(Table1[[#This Row],[Profit]]&gt;800,"High Profit","Low Profit")</f>
        <v>High Profit</v>
      </c>
      <c r="V37" s="29" t="str">
        <f>IF(AND(Table1[[#This Row],[Quantity]]&gt;2,Table1[[#This Row],[Discount]]&gt;0.04),"Bulk Deal","Ok Deal")</f>
        <v>Ok Deal</v>
      </c>
      <c r="W37" s="29" t="str">
        <f>IF(OR(Table1[[#This Row],[Region]]="East",Table1[[#This Row],[Region]]="West"),"High Priority Region","Only Region")</f>
        <v>Only Region</v>
      </c>
      <c r="X37" s="29" t="str">
        <f>LEFT(Table1[[#This Row],[Product Name]],5)</f>
        <v>Proje</v>
      </c>
      <c r="Y37" s="29">
        <f>MONTH(Table1[[#This Row],[Order Date]])</f>
        <v>2</v>
      </c>
      <c r="Z37" s="29" t="str">
        <f>RIGHT(Table1[[#This Row],[Customer Name]],LEN(Table1[[#This Row],[Customer Name]])-FIND(" ",Table1[[#This Row],[Customer Name]])) &amp; ",  " &amp; LEFT(Table1[[#This Row],[Customer Name]],FIND(" ",Table1[[#This Row],[Customer Name]])-1)</f>
        <v>Turner,  Jake</v>
      </c>
      <c r="AA37" s="30">
        <f>Table1[[#This Row],[Order Date]]-10</f>
        <v>44961</v>
      </c>
      <c r="AB37" s="29" t="str">
        <f>TEXT(Table1[[#This Row],[Discount]],"0%")</f>
        <v>10%</v>
      </c>
      <c r="AC37" s="30">
        <f t="shared" si="0"/>
        <v>44981</v>
      </c>
      <c r="AD37" s="29">
        <f>YEAR(Table1[[#This Row],[Order Date]])</f>
        <v>2023</v>
      </c>
      <c r="AE37" s="30">
        <v>32529</v>
      </c>
      <c r="AF37" s="29">
        <f ca="1">DATEDIF(Table1[[#This Row],[Birthdate]],TODAY(),"Y")</f>
        <v>36</v>
      </c>
      <c r="AG37" s="29">
        <f>WEEKNUM(Table1[[#This Row],[Order Date]])</f>
        <v>7</v>
      </c>
      <c r="AH37" s="29">
        <f>NETWORKDAYS(Table1[[#This Row],[Order Date]],Table1[[#This Row],[Delivery Date]])</f>
        <v>9</v>
      </c>
      <c r="AI37" s="29">
        <f>WEEKDAY(Table1[[#This Row],[Order Date]])</f>
        <v>3</v>
      </c>
      <c r="AJ37" s="31" t="str">
        <f ca="1">IF(Table1[[#This Row],[Order Date]]&lt;TODAY(),"Old Order","New Order")</f>
        <v>Old Order</v>
      </c>
      <c r="AK37" s="29">
        <f ca="1">RANK(Table1[[#This Row],[Sales]],Table1[[#All],[Order ID]:[OrderDate]])</f>
        <v>283</v>
      </c>
      <c r="AL37" s="7">
        <f ca="1">SUM(OFFSET(K37,10,0,COUNTA(Table1[[#All],[Sales]])-1))</f>
        <v>224915</v>
      </c>
      <c r="AM37" s="30">
        <f t="shared" si="1"/>
        <v>44972</v>
      </c>
      <c r="AN37" s="29" t="str" cm="1">
        <f t="array" ref="AN37">_xlfn.IFS(Table1[[#This Row],[Profit]]&gt;3000,"A",Table1[[#This Row],[Profit]]&gt;1000,"B",Table1[[#This Row],[Profit]]&gt;500,"C",TRUE,"D")</f>
        <v>B</v>
      </c>
      <c r="AO37" s="29">
        <f>SUM($F$2:F37)</f>
        <v>200130</v>
      </c>
      <c r="AP37" s="29">
        <v>2297770</v>
      </c>
      <c r="AQ37" s="29">
        <v>8</v>
      </c>
      <c r="AR37" s="29">
        <v>12</v>
      </c>
      <c r="AS37" s="37">
        <f>PMT(Table1[[#This Row],[Loan Amount]]/12,Table1[[#This Row],[Interest Rate]],-Table1[[#This Row],[Tenure (Months)]])</f>
        <v>2297770</v>
      </c>
      <c r="AU37" s="7"/>
      <c r="CF37" s="7"/>
      <c r="CN37" s="39">
        <v>2198965</v>
      </c>
      <c r="CO37" s="39">
        <v>8</v>
      </c>
      <c r="CP37" s="39">
        <v>10</v>
      </c>
      <c r="CQ37" s="40">
        <f>PMT(Table1[[#This Row],[Loan Amount]]/12,Table1[[#This Row],[Interest Rate]],-Table1[[#This Row],[Tenure (Months)]])</f>
        <v>2297770</v>
      </c>
    </row>
    <row r="38" spans="1:95">
      <c r="A38" s="17">
        <v>1037</v>
      </c>
      <c r="B38" s="2" t="s">
        <v>88</v>
      </c>
      <c r="C38" s="2" t="s">
        <v>11</v>
      </c>
      <c r="D38" s="2" t="s">
        <v>12</v>
      </c>
      <c r="E38" s="2" t="s">
        <v>89</v>
      </c>
      <c r="F38" s="2">
        <v>3000</v>
      </c>
      <c r="G38" s="2">
        <f>Table1[[#This Row],[Sales]]*0.7</f>
        <v>2100</v>
      </c>
      <c r="H38" s="2">
        <v>1</v>
      </c>
      <c r="I38" s="2">
        <v>0.05</v>
      </c>
      <c r="J38" s="2">
        <f>Table1[[#This Row],[Sales]]-Table1[[#This Row],[Cost]]</f>
        <v>900</v>
      </c>
      <c r="K38" s="3">
        <v>44972</v>
      </c>
      <c r="L38" s="3">
        <v>44982</v>
      </c>
      <c r="M38" s="4">
        <v>2850</v>
      </c>
      <c r="N38" s="27">
        <v>0.13333333333333333</v>
      </c>
      <c r="O38" s="4" t="s">
        <v>127</v>
      </c>
      <c r="P38" s="4" t="s">
        <v>125</v>
      </c>
      <c r="Q38" s="4" t="s">
        <v>115</v>
      </c>
      <c r="R38" s="4" t="s">
        <v>123</v>
      </c>
      <c r="S38" s="4" t="s">
        <v>265</v>
      </c>
      <c r="T38" s="18">
        <v>150</v>
      </c>
      <c r="U38" s="29" t="str">
        <f>IF(Table1[[#This Row],[Profit]]&gt;800,"High Profit","Low Profit")</f>
        <v>High Profit</v>
      </c>
      <c r="V38" s="29" t="str">
        <f>IF(AND(Table1[[#This Row],[Quantity]]&gt;2,Table1[[#This Row],[Discount]]&gt;0.04),"Bulk Deal","Ok Deal")</f>
        <v>Ok Deal</v>
      </c>
      <c r="W38" s="29" t="str">
        <f>IF(OR(Table1[[#This Row],[Region]]="East",Table1[[#This Row],[Region]]="West"),"High Priority Region","Only Region")</f>
        <v>High Priority Region</v>
      </c>
      <c r="X38" s="29" t="str">
        <f>LEFT(Table1[[#This Row],[Product Name]],5)</f>
        <v>Shelf</v>
      </c>
      <c r="Y38" s="29">
        <f>MONTH(Table1[[#This Row],[Order Date]])</f>
        <v>2</v>
      </c>
      <c r="Z38" s="29" t="str">
        <f>RIGHT(Table1[[#This Row],[Customer Name]],LEN(Table1[[#This Row],[Customer Name]])-FIND(" ",Table1[[#This Row],[Customer Name]])) &amp; ",  " &amp; LEFT(Table1[[#This Row],[Customer Name]],FIND(" ",Table1[[#This Row],[Customer Name]])-1)</f>
        <v>Adams,  Kara</v>
      </c>
      <c r="AA38" s="30">
        <f>Table1[[#This Row],[Order Date]]-10</f>
        <v>44962</v>
      </c>
      <c r="AB38" s="29" t="str">
        <f>TEXT(Table1[[#This Row],[Discount]],"0%")</f>
        <v>5%</v>
      </c>
      <c r="AC38" s="30">
        <f t="shared" si="0"/>
        <v>44982</v>
      </c>
      <c r="AD38" s="29">
        <f>YEAR(Table1[[#This Row],[Order Date]])</f>
        <v>2023</v>
      </c>
      <c r="AE38" s="30">
        <v>36230</v>
      </c>
      <c r="AF38" s="29">
        <f ca="1">DATEDIF(Table1[[#This Row],[Birthdate]],TODAY(),"Y")</f>
        <v>26</v>
      </c>
      <c r="AG38" s="29">
        <f>WEEKNUM(Table1[[#This Row],[Order Date]])</f>
        <v>7</v>
      </c>
      <c r="AH38" s="29">
        <f>NETWORKDAYS(Table1[[#This Row],[Order Date]],Table1[[#This Row],[Delivery Date]])</f>
        <v>8</v>
      </c>
      <c r="AI38" s="29">
        <f>WEEKDAY(Table1[[#This Row],[Order Date]])</f>
        <v>4</v>
      </c>
      <c r="AJ38" s="31" t="str">
        <f ca="1">IF(Table1[[#This Row],[Order Date]]&lt;TODAY(),"Old Order","New Order")</f>
        <v>Old Order</v>
      </c>
      <c r="AK38" s="29">
        <f ca="1">RANK(Table1[[#This Row],[Sales]],Table1[[#All],[Order ID]:[OrderDate]])</f>
        <v>310</v>
      </c>
      <c r="AL38" s="7">
        <f ca="1">SUM(OFFSET(K38,10,0,COUNTA(Table1[[#All],[Sales]])-1))</f>
        <v>179934</v>
      </c>
      <c r="AM38" s="30">
        <f t="shared" si="1"/>
        <v>44973</v>
      </c>
      <c r="AN38" s="29" t="str" cm="1">
        <f t="array" ref="AN38">_xlfn.IFS(Table1[[#This Row],[Profit]]&gt;3000,"A",Table1[[#This Row],[Profit]]&gt;1000,"B",Table1[[#This Row],[Profit]]&gt;500,"C",TRUE,"D")</f>
        <v>C</v>
      </c>
      <c r="AO38" s="29">
        <f>SUM($F$2:F38)</f>
        <v>203130</v>
      </c>
      <c r="AP38" s="29">
        <v>1435683</v>
      </c>
      <c r="AQ38" s="29">
        <v>9</v>
      </c>
      <c r="AR38" s="29">
        <v>5</v>
      </c>
      <c r="AS38" s="37">
        <f>PMT(Table1[[#This Row],[Loan Amount]]/12,Table1[[#This Row],[Interest Rate]],-Table1[[#This Row],[Tenure (Months)]])</f>
        <v>598201.25</v>
      </c>
      <c r="AU38" s="42" t="s">
        <v>487</v>
      </c>
      <c r="AV38" t="s">
        <v>489</v>
      </c>
      <c r="AY38" s="42" t="s">
        <v>487</v>
      </c>
      <c r="AZ38" t="s">
        <v>490</v>
      </c>
      <c r="CN38" s="41">
        <v>1633055</v>
      </c>
      <c r="CO38" s="41">
        <v>8</v>
      </c>
      <c r="CP38" s="41">
        <v>11</v>
      </c>
      <c r="CQ38" s="40">
        <f>PMT(Table1[[#This Row],[Loan Amount]]/12,Table1[[#This Row],[Interest Rate]],-Table1[[#This Row],[Tenure (Months)]])</f>
        <v>598201.25</v>
      </c>
    </row>
    <row r="39" spans="1:95">
      <c r="A39" s="17">
        <v>1038</v>
      </c>
      <c r="B39" s="2" t="s">
        <v>90</v>
      </c>
      <c r="C39" s="2" t="s">
        <v>15</v>
      </c>
      <c r="D39" s="2" t="s">
        <v>16</v>
      </c>
      <c r="E39" s="2" t="s">
        <v>91</v>
      </c>
      <c r="F39" s="2">
        <v>50</v>
      </c>
      <c r="G39" s="2">
        <f>Table1[[#This Row],[Sales]]*0.7</f>
        <v>35</v>
      </c>
      <c r="H39" s="2">
        <v>5</v>
      </c>
      <c r="I39" s="2">
        <v>0</v>
      </c>
      <c r="J39" s="2">
        <f>Table1[[#This Row],[Sales]]-Table1[[#This Row],[Cost]]</f>
        <v>15</v>
      </c>
      <c r="K39" s="3">
        <v>44973</v>
      </c>
      <c r="L39" s="3">
        <v>44979</v>
      </c>
      <c r="M39" s="4">
        <v>50</v>
      </c>
      <c r="N39" s="27">
        <v>0.2</v>
      </c>
      <c r="O39" s="4" t="s">
        <v>127</v>
      </c>
      <c r="P39" s="4" t="s">
        <v>119</v>
      </c>
      <c r="Q39" s="4" t="s">
        <v>118</v>
      </c>
      <c r="R39" s="4" t="s">
        <v>116</v>
      </c>
      <c r="S39" s="4" t="s">
        <v>265</v>
      </c>
      <c r="T39" s="18">
        <v>0</v>
      </c>
      <c r="U39" s="29" t="str">
        <f>IF(Table1[[#This Row],[Profit]]&gt;800,"High Profit","Low Profit")</f>
        <v>Low Profit</v>
      </c>
      <c r="V39" s="29" t="str">
        <f>IF(AND(Table1[[#This Row],[Quantity]]&gt;2,Table1[[#This Row],[Discount]]&gt;0.04),"Bulk Deal","Ok Deal")</f>
        <v>Ok Deal</v>
      </c>
      <c r="W39" s="29" t="str">
        <f>IF(OR(Table1[[#This Row],[Region]]="East",Table1[[#This Row],[Region]]="West"),"High Priority Region","Only Region")</f>
        <v>High Priority Region</v>
      </c>
      <c r="X39" s="29" t="str">
        <f>LEFT(Table1[[#This Row],[Product Name]],5)</f>
        <v xml:space="preserve">Clip </v>
      </c>
      <c r="Y39" s="29">
        <f>MONTH(Table1[[#This Row],[Order Date]])</f>
        <v>2</v>
      </c>
      <c r="Z39" s="29" t="str">
        <f>RIGHT(Table1[[#This Row],[Customer Name]],LEN(Table1[[#This Row],[Customer Name]])-FIND(" ",Table1[[#This Row],[Customer Name]])) &amp; ",  " &amp; LEFT(Table1[[#This Row],[Customer Name]],FIND(" ",Table1[[#This Row],[Customer Name]])-1)</f>
        <v>Brown,  Leo</v>
      </c>
      <c r="AA39" s="30">
        <f>Table1[[#This Row],[Order Date]]-10</f>
        <v>44963</v>
      </c>
      <c r="AB39" s="29" t="str">
        <f>TEXT(Table1[[#This Row],[Discount]],"0%")</f>
        <v>0%</v>
      </c>
      <c r="AC39" s="30">
        <f t="shared" si="0"/>
        <v>44983</v>
      </c>
      <c r="AD39" s="29">
        <f>YEAR(Table1[[#This Row],[Order Date]])</f>
        <v>2023</v>
      </c>
      <c r="AE39" s="30">
        <v>34399</v>
      </c>
      <c r="AF39" s="29">
        <f ca="1">DATEDIF(Table1[[#This Row],[Birthdate]],TODAY(),"Y")</f>
        <v>31</v>
      </c>
      <c r="AG39" s="29">
        <f>WEEKNUM(Table1[[#This Row],[Order Date]])</f>
        <v>7</v>
      </c>
      <c r="AH39" s="29">
        <f>NETWORKDAYS(Table1[[#This Row],[Order Date]],Table1[[#This Row],[Delivery Date]])</f>
        <v>5</v>
      </c>
      <c r="AI39" s="29">
        <f>WEEKDAY(Table1[[#This Row],[Order Date]])</f>
        <v>5</v>
      </c>
      <c r="AJ39" s="31" t="str">
        <f ca="1">IF(Table1[[#This Row],[Order Date]]&lt;TODAY(),"Old Order","New Order")</f>
        <v>Old Order</v>
      </c>
      <c r="AK39" s="29">
        <f ca="1">RANK(Table1[[#This Row],[Sales]],Table1[[#All],[Order ID]:[OrderDate]])</f>
        <v>558</v>
      </c>
      <c r="AL39" s="7">
        <f ca="1">SUM(OFFSET(K39,10,0,COUNTA(Table1[[#All],[Sales]])-1))</f>
        <v>134952</v>
      </c>
      <c r="AM39" s="30">
        <f t="shared" si="1"/>
        <v>44974</v>
      </c>
      <c r="AN39" s="29" t="str" cm="1">
        <f t="array" ref="AN39">_xlfn.IFS(Table1[[#This Row],[Profit]]&gt;3000,"A",Table1[[#This Row],[Profit]]&gt;1000,"B",Table1[[#This Row],[Profit]]&gt;500,"C",TRUE,"D")</f>
        <v>D</v>
      </c>
      <c r="AO39" s="29">
        <f>SUM($F$2:F39)</f>
        <v>203180</v>
      </c>
      <c r="AP39" s="29">
        <v>1608333</v>
      </c>
      <c r="AQ39" s="29">
        <v>10</v>
      </c>
      <c r="AR39" s="29">
        <v>5</v>
      </c>
      <c r="AS39" s="37">
        <f>PMT(Table1[[#This Row],[Loan Amount]]/12,Table1[[#This Row],[Interest Rate]],-Table1[[#This Row],[Tenure (Months)]])</f>
        <v>670138.75</v>
      </c>
      <c r="AU39" s="43" t="s">
        <v>11</v>
      </c>
      <c r="AV39">
        <v>41300</v>
      </c>
      <c r="AY39" s="43" t="s">
        <v>11</v>
      </c>
      <c r="AZ39">
        <v>12390</v>
      </c>
      <c r="CN39" s="39">
        <v>2010822</v>
      </c>
      <c r="CO39" s="39">
        <v>8</v>
      </c>
      <c r="CP39" s="39">
        <v>12</v>
      </c>
      <c r="CQ39" s="40">
        <f>PMT(Table1[[#This Row],[Loan Amount]]/12,Table1[[#This Row],[Interest Rate]],-Table1[[#This Row],[Tenure (Months)]])</f>
        <v>670138.75</v>
      </c>
    </row>
    <row r="40" spans="1:95">
      <c r="A40" s="17">
        <v>1039</v>
      </c>
      <c r="B40" s="2" t="s">
        <v>92</v>
      </c>
      <c r="C40" s="2" t="s">
        <v>19</v>
      </c>
      <c r="D40" s="2" t="s">
        <v>20</v>
      </c>
      <c r="E40" s="2" t="s">
        <v>21</v>
      </c>
      <c r="F40" s="2">
        <v>75000</v>
      </c>
      <c r="G40" s="2">
        <f>Table1[[#This Row],[Sales]]*0.7</f>
        <v>52500</v>
      </c>
      <c r="H40" s="2">
        <v>1</v>
      </c>
      <c r="I40" s="2">
        <v>0.15</v>
      </c>
      <c r="J40" s="2">
        <f>Table1[[#This Row],[Sales]]-Table1[[#This Row],[Cost]]</f>
        <v>22500</v>
      </c>
      <c r="K40" s="3">
        <v>44974</v>
      </c>
      <c r="L40" s="3">
        <v>44975</v>
      </c>
      <c r="M40" s="4">
        <v>63750</v>
      </c>
      <c r="N40" s="27">
        <v>0.10666666666666667</v>
      </c>
      <c r="O40" s="4" t="s">
        <v>127</v>
      </c>
      <c r="P40" s="4" t="s">
        <v>126</v>
      </c>
      <c r="Q40" s="4" t="s">
        <v>120</v>
      </c>
      <c r="R40" s="4" t="s">
        <v>121</v>
      </c>
      <c r="S40" s="4" t="s">
        <v>264</v>
      </c>
      <c r="T40" s="18">
        <v>11250</v>
      </c>
      <c r="U40" s="29" t="str">
        <f>IF(Table1[[#This Row],[Profit]]&gt;800,"High Profit","Low Profit")</f>
        <v>High Profit</v>
      </c>
      <c r="V40" s="29" t="str">
        <f>IF(AND(Table1[[#This Row],[Quantity]]&gt;2,Table1[[#This Row],[Discount]]&gt;0.04),"Bulk Deal","Ok Deal")</f>
        <v>Ok Deal</v>
      </c>
      <c r="W40" s="29" t="str">
        <f>IF(OR(Table1[[#This Row],[Region]]="East",Table1[[#This Row],[Region]]="West"),"High Priority Region","Only Region")</f>
        <v>Only Region</v>
      </c>
      <c r="X40" s="29" t="str">
        <f>LEFT(Table1[[#This Row],[Product Name]],5)</f>
        <v>Lapto</v>
      </c>
      <c r="Y40" s="29">
        <f>MONTH(Table1[[#This Row],[Order Date]])</f>
        <v>2</v>
      </c>
      <c r="Z40" s="29" t="str">
        <f>RIGHT(Table1[[#This Row],[Customer Name]],LEN(Table1[[#This Row],[Customer Name]])-FIND(" ",Table1[[#This Row],[Customer Name]])) &amp; ",  " &amp; LEFT(Table1[[#This Row],[Customer Name]],FIND(" ",Table1[[#This Row],[Customer Name]])-1)</f>
        <v>Scott,  Maya</v>
      </c>
      <c r="AA40" s="30">
        <f>Table1[[#This Row],[Order Date]]-10</f>
        <v>44964</v>
      </c>
      <c r="AB40" s="29" t="str">
        <f>TEXT(Table1[[#This Row],[Discount]],"0%")</f>
        <v>15%</v>
      </c>
      <c r="AC40" s="30">
        <f t="shared" si="0"/>
        <v>44984</v>
      </c>
      <c r="AD40" s="29">
        <f>YEAR(Table1[[#This Row],[Order Date]])</f>
        <v>2023</v>
      </c>
      <c r="AE40" s="30">
        <v>29993</v>
      </c>
      <c r="AF40" s="29">
        <f ca="1">DATEDIF(Table1[[#This Row],[Birthdate]],TODAY(),"Y")</f>
        <v>43</v>
      </c>
      <c r="AG40" s="29">
        <f>WEEKNUM(Table1[[#This Row],[Order Date]])</f>
        <v>7</v>
      </c>
      <c r="AH40" s="29">
        <f>NETWORKDAYS(Table1[[#This Row],[Order Date]],Table1[[#This Row],[Delivery Date]])</f>
        <v>1</v>
      </c>
      <c r="AI40" s="29">
        <f>WEEKDAY(Table1[[#This Row],[Order Date]])</f>
        <v>6</v>
      </c>
      <c r="AJ40" s="31" t="str">
        <f ca="1">IF(Table1[[#This Row],[Order Date]]&lt;TODAY(),"Old Order","New Order")</f>
        <v>Old Order</v>
      </c>
      <c r="AK40" s="29">
        <f ca="1">RANK(Table1[[#This Row],[Sales]],Table1[[#All],[Order ID]:[OrderDate]])</f>
        <v>1</v>
      </c>
      <c r="AL40" s="7">
        <f ca="1">SUM(OFFSET(K40,10,0,COUNTA(Table1[[#All],[Sales]])-1))</f>
        <v>89969</v>
      </c>
      <c r="AM40" s="30">
        <f t="shared" si="1"/>
        <v>44975</v>
      </c>
      <c r="AN40" s="29" t="str" cm="1">
        <f t="array" ref="AN40">_xlfn.IFS(Table1[[#This Row],[Profit]]&gt;3000,"A",Table1[[#This Row],[Profit]]&gt;1000,"B",Table1[[#This Row],[Profit]]&gt;500,"C",TRUE,"D")</f>
        <v>A</v>
      </c>
      <c r="AO40" s="29">
        <f>SUM($F$2:F40)</f>
        <v>278180</v>
      </c>
      <c r="AP40" s="29">
        <v>1124801</v>
      </c>
      <c r="AQ40" s="29">
        <v>12</v>
      </c>
      <c r="AR40" s="29">
        <v>11</v>
      </c>
      <c r="AS40" s="37">
        <f>PMT(Table1[[#This Row],[Loan Amount]]/12,Table1[[#This Row],[Interest Rate]],-Table1[[#This Row],[Tenure (Months)]])</f>
        <v>1031067.5833333334</v>
      </c>
      <c r="AU40" s="43" t="s">
        <v>23</v>
      </c>
      <c r="AV40">
        <v>37060</v>
      </c>
      <c r="AY40" s="43" t="s">
        <v>23</v>
      </c>
      <c r="AZ40">
        <v>11118</v>
      </c>
      <c r="CN40" s="41">
        <v>2247508</v>
      </c>
      <c r="CO40" s="41">
        <v>9</v>
      </c>
      <c r="CP40" s="41">
        <v>10</v>
      </c>
      <c r="CQ40" s="40">
        <f>PMT(Table1[[#This Row],[Loan Amount]]/12,Table1[[#This Row],[Interest Rate]],-Table1[[#This Row],[Tenure (Months)]])</f>
        <v>1031067.5833333334</v>
      </c>
    </row>
    <row r="41" spans="1:95">
      <c r="A41" s="17">
        <v>1040</v>
      </c>
      <c r="B41" s="2" t="s">
        <v>93</v>
      </c>
      <c r="C41" s="2" t="s">
        <v>23</v>
      </c>
      <c r="D41" s="2" t="s">
        <v>12</v>
      </c>
      <c r="E41" s="2" t="s">
        <v>13</v>
      </c>
      <c r="F41" s="2">
        <v>1200</v>
      </c>
      <c r="G41" s="2">
        <f>Table1[[#This Row],[Sales]]*0.7</f>
        <v>840</v>
      </c>
      <c r="H41" s="2">
        <v>2</v>
      </c>
      <c r="I41" s="2">
        <v>0.1</v>
      </c>
      <c r="J41" s="2">
        <f>Table1[[#This Row],[Sales]]-Table1[[#This Row],[Cost]]</f>
        <v>360</v>
      </c>
      <c r="K41" s="3">
        <v>44975</v>
      </c>
      <c r="L41" s="3">
        <v>44984</v>
      </c>
      <c r="M41" s="4">
        <v>1080</v>
      </c>
      <c r="N41" s="27">
        <v>0.16666666666666666</v>
      </c>
      <c r="O41" s="4" t="s">
        <v>127</v>
      </c>
      <c r="P41" s="4" t="s">
        <v>122</v>
      </c>
      <c r="Q41" s="4" t="s">
        <v>115</v>
      </c>
      <c r="R41" s="4" t="s">
        <v>116</v>
      </c>
      <c r="S41" s="4" t="s">
        <v>265</v>
      </c>
      <c r="T41" s="18">
        <v>120</v>
      </c>
      <c r="U41" s="29" t="str">
        <f>IF(Table1[[#This Row],[Profit]]&gt;800,"High Profit","Low Profit")</f>
        <v>Low Profit</v>
      </c>
      <c r="V41" s="29" t="str">
        <f>IF(AND(Table1[[#This Row],[Quantity]]&gt;2,Table1[[#This Row],[Discount]]&gt;0.04),"Bulk Deal","Ok Deal")</f>
        <v>Ok Deal</v>
      </c>
      <c r="W41" s="29" t="str">
        <f>IF(OR(Table1[[#This Row],[Region]]="East",Table1[[#This Row],[Region]]="West"),"High Priority Region","Only Region")</f>
        <v>Only Region</v>
      </c>
      <c r="X41" s="29" t="str">
        <f>LEFT(Table1[[#This Row],[Product Name]],5)</f>
        <v>Chair</v>
      </c>
      <c r="Y41" s="29">
        <f>MONTH(Table1[[#This Row],[Order Date]])</f>
        <v>2</v>
      </c>
      <c r="Z41" s="29" t="str">
        <f>RIGHT(Table1[[#This Row],[Customer Name]],LEN(Table1[[#This Row],[Customer Name]])-FIND(" ",Table1[[#This Row],[Customer Name]])) &amp; ",  " &amp; LEFT(Table1[[#This Row],[Customer Name]],FIND(" ",Table1[[#This Row],[Customer Name]])-1)</f>
        <v>White,  Nick</v>
      </c>
      <c r="AA41" s="30">
        <f>Table1[[#This Row],[Order Date]]-10</f>
        <v>44965</v>
      </c>
      <c r="AB41" s="29" t="str">
        <f>TEXT(Table1[[#This Row],[Discount]],"0%")</f>
        <v>10%</v>
      </c>
      <c r="AC41" s="30">
        <f t="shared" si="0"/>
        <v>44985</v>
      </c>
      <c r="AD41" s="29">
        <f>YEAR(Table1[[#This Row],[Order Date]])</f>
        <v>2023</v>
      </c>
      <c r="AE41" s="30">
        <v>34643</v>
      </c>
      <c r="AF41" s="29">
        <f ca="1">DATEDIF(Table1[[#This Row],[Birthdate]],TODAY(),"Y")</f>
        <v>31</v>
      </c>
      <c r="AG41" s="29">
        <f>WEEKNUM(Table1[[#This Row],[Order Date]])</f>
        <v>7</v>
      </c>
      <c r="AH41" s="29">
        <f>NETWORKDAYS(Table1[[#This Row],[Order Date]],Table1[[#This Row],[Delivery Date]])</f>
        <v>6</v>
      </c>
      <c r="AI41" s="29">
        <f>WEEKDAY(Table1[[#This Row],[Order Date]])</f>
        <v>7</v>
      </c>
      <c r="AJ41" s="31" t="str">
        <f ca="1">IF(Table1[[#This Row],[Order Date]]&lt;TODAY(),"Old Order","New Order")</f>
        <v>Old Order</v>
      </c>
      <c r="AK41" s="29">
        <f ca="1">RANK(Table1[[#This Row],[Sales]],Table1[[#All],[Order ID]:[OrderDate]])</f>
        <v>393</v>
      </c>
      <c r="AL41" s="7">
        <f ca="1">SUM(OFFSET(K41,10,0,COUNTA(Table1[[#All],[Sales]])-1))</f>
        <v>44985</v>
      </c>
      <c r="AM41" s="30">
        <f t="shared" si="1"/>
        <v>44976</v>
      </c>
      <c r="AN41" s="29" t="str" cm="1">
        <f t="array" ref="AN41">_xlfn.IFS(Table1[[#This Row],[Profit]]&gt;3000,"A",Table1[[#This Row],[Profit]]&gt;1000,"B",Table1[[#This Row],[Profit]]&gt;500,"C",TRUE,"D")</f>
        <v>D</v>
      </c>
      <c r="AO41" s="29">
        <f>SUM($F$2:F41)</f>
        <v>279380</v>
      </c>
      <c r="AP41" s="29">
        <v>1451890</v>
      </c>
      <c r="AQ41" s="29">
        <v>12</v>
      </c>
      <c r="AR41" s="29">
        <v>5</v>
      </c>
      <c r="AS41" s="37">
        <f>PMT(Table1[[#This Row],[Loan Amount]]/12,Table1[[#This Row],[Interest Rate]],-Table1[[#This Row],[Tenure (Months)]])</f>
        <v>604954.16666666663</v>
      </c>
      <c r="AU41" s="43" t="s">
        <v>19</v>
      </c>
      <c r="AV41">
        <v>178600</v>
      </c>
      <c r="AY41" s="43" t="s">
        <v>19</v>
      </c>
      <c r="AZ41">
        <v>53580</v>
      </c>
      <c r="CN41" s="39">
        <v>1944135</v>
      </c>
      <c r="CO41" s="39">
        <v>8</v>
      </c>
      <c r="CP41" s="39">
        <v>8</v>
      </c>
      <c r="CQ41" s="40">
        <f>PMT(Table1[[#This Row],[Loan Amount]]/12,Table1[[#This Row],[Interest Rate]],-Table1[[#This Row],[Tenure (Months)]])</f>
        <v>604954.16666666663</v>
      </c>
    </row>
    <row r="42" spans="1:95">
      <c r="A42" s="17">
        <v>1041</v>
      </c>
      <c r="B42" s="2" t="s">
        <v>94</v>
      </c>
      <c r="C42" s="2" t="s">
        <v>11</v>
      </c>
      <c r="D42" s="2" t="s">
        <v>16</v>
      </c>
      <c r="E42" s="2" t="s">
        <v>26</v>
      </c>
      <c r="F42" s="2">
        <v>300</v>
      </c>
      <c r="G42" s="2">
        <f>Table1[[#This Row],[Sales]]*0.7</f>
        <v>210</v>
      </c>
      <c r="H42" s="2">
        <v>3</v>
      </c>
      <c r="I42" s="2">
        <v>0.05</v>
      </c>
      <c r="J42" s="2">
        <f>Table1[[#This Row],[Sales]]-Table1[[#This Row],[Cost]]</f>
        <v>90</v>
      </c>
      <c r="K42" s="3">
        <v>44976</v>
      </c>
      <c r="L42" s="3">
        <v>44977</v>
      </c>
      <c r="M42" s="4">
        <v>285</v>
      </c>
      <c r="N42" s="27">
        <v>0.16666666666666666</v>
      </c>
      <c r="O42" s="4" t="s">
        <v>127</v>
      </c>
      <c r="P42" s="4" t="s">
        <v>114</v>
      </c>
      <c r="Q42" s="4" t="s">
        <v>118</v>
      </c>
      <c r="R42" s="4" t="s">
        <v>116</v>
      </c>
      <c r="S42" s="4" t="s">
        <v>264</v>
      </c>
      <c r="T42" s="18">
        <v>15</v>
      </c>
      <c r="U42" s="29" t="str">
        <f>IF(Table1[[#This Row],[Profit]]&gt;800,"High Profit","Low Profit")</f>
        <v>Low Profit</v>
      </c>
      <c r="V42" s="29" t="str">
        <f>IF(AND(Table1[[#This Row],[Quantity]]&gt;2,Table1[[#This Row],[Discount]]&gt;0.04),"Bulk Deal","Ok Deal")</f>
        <v>Bulk Deal</v>
      </c>
      <c r="W42" s="29" t="str">
        <f>IF(OR(Table1[[#This Row],[Region]]="East",Table1[[#This Row],[Region]]="West"),"High Priority Region","Only Region")</f>
        <v>High Priority Region</v>
      </c>
      <c r="X42" s="29" t="str">
        <f>LEFT(Table1[[#This Row],[Product Name]],5)</f>
        <v>Pen S</v>
      </c>
      <c r="Y42" s="29">
        <f>MONTH(Table1[[#This Row],[Order Date]])</f>
        <v>2</v>
      </c>
      <c r="Z42" s="29" t="str">
        <f>RIGHT(Table1[[#This Row],[Customer Name]],LEN(Table1[[#This Row],[Customer Name]])-FIND(" ",Table1[[#This Row],[Customer Name]])) &amp; ",  " &amp; LEFT(Table1[[#This Row],[Customer Name]],FIND(" ",Table1[[#This Row],[Customer Name]])-1)</f>
        <v>Hall,  Olivia</v>
      </c>
      <c r="AA42" s="30">
        <f>Table1[[#This Row],[Order Date]]-10</f>
        <v>44966</v>
      </c>
      <c r="AB42" s="29" t="str">
        <f>TEXT(Table1[[#This Row],[Discount]],"0%")</f>
        <v>5%</v>
      </c>
      <c r="AC42" s="30">
        <f t="shared" si="0"/>
        <v>44986</v>
      </c>
      <c r="AD42" s="29">
        <f>YEAR(Table1[[#This Row],[Order Date]])</f>
        <v>2023</v>
      </c>
      <c r="AE42" s="30">
        <v>35134</v>
      </c>
      <c r="AF42" s="29">
        <f ca="1">DATEDIF(Table1[[#This Row],[Birthdate]],TODAY(),"Y")</f>
        <v>29</v>
      </c>
      <c r="AG42" s="29">
        <f>WEEKNUM(Table1[[#This Row],[Order Date]])</f>
        <v>8</v>
      </c>
      <c r="AH42" s="29">
        <f>NETWORKDAYS(Table1[[#This Row],[Order Date]],Table1[[#This Row],[Delivery Date]])</f>
        <v>1</v>
      </c>
      <c r="AI42" s="29">
        <f>WEEKDAY(Table1[[#This Row],[Order Date]])</f>
        <v>1</v>
      </c>
      <c r="AJ42" s="31" t="str">
        <f ca="1">IF(Table1[[#This Row],[Order Date]]&lt;TODAY(),"Old Order","New Order")</f>
        <v>Old Order</v>
      </c>
      <c r="AK42" s="29">
        <f ca="1">RANK(Table1[[#This Row],[Sales]],Table1[[#All],[Order ID]:[OrderDate]])</f>
        <v>489</v>
      </c>
      <c r="AL42" s="7">
        <f ca="1">SUM(OFFSET(K42,10,0,COUNTA(Table1[[#All],[Sales]])-1))</f>
        <v>0</v>
      </c>
      <c r="AM42" s="30">
        <f t="shared" si="1"/>
        <v>44977</v>
      </c>
      <c r="AN42" s="29" t="str" cm="1">
        <f t="array" ref="AN42">_xlfn.IFS(Table1[[#This Row],[Profit]]&gt;3000,"A",Table1[[#This Row],[Profit]]&gt;1000,"B",Table1[[#This Row],[Profit]]&gt;500,"C",TRUE,"D")</f>
        <v>D</v>
      </c>
      <c r="AO42" s="29">
        <f>SUM($F$2:F42)</f>
        <v>279680</v>
      </c>
      <c r="AP42" s="29">
        <v>1933723</v>
      </c>
      <c r="AQ42" s="29">
        <v>9</v>
      </c>
      <c r="AR42" s="29">
        <v>10</v>
      </c>
      <c r="AS42" s="37">
        <f>PMT(Table1[[#This Row],[Loan Amount]]/12,Table1[[#This Row],[Interest Rate]],-Table1[[#This Row],[Tenure (Months)]])</f>
        <v>1611435.8333333335</v>
      </c>
      <c r="AU42" s="43" t="s">
        <v>15</v>
      </c>
      <c r="AV42">
        <v>57940</v>
      </c>
      <c r="AY42" s="43" t="s">
        <v>15</v>
      </c>
      <c r="AZ42">
        <v>17382</v>
      </c>
      <c r="CN42" s="41">
        <v>1538219</v>
      </c>
      <c r="CO42" s="41">
        <v>9</v>
      </c>
      <c r="CP42" s="41">
        <v>6</v>
      </c>
      <c r="CQ42" s="40">
        <f>PMT(Table1[[#This Row],[Loan Amount]]/12,Table1[[#This Row],[Interest Rate]],-Table1[[#This Row],[Tenure (Months)]])</f>
        <v>1611435.8333333335</v>
      </c>
    </row>
    <row r="43" spans="1:95">
      <c r="A43" s="17">
        <v>1042</v>
      </c>
      <c r="B43" s="2" t="s">
        <v>95</v>
      </c>
      <c r="C43" s="2" t="s">
        <v>15</v>
      </c>
      <c r="D43" s="2" t="s">
        <v>20</v>
      </c>
      <c r="E43" s="2" t="s">
        <v>28</v>
      </c>
      <c r="F43" s="2">
        <v>800</v>
      </c>
      <c r="G43" s="2">
        <f>Table1[[#This Row],[Sales]]*0.7</f>
        <v>560</v>
      </c>
      <c r="H43" s="2">
        <v>2</v>
      </c>
      <c r="I43" s="2">
        <v>0</v>
      </c>
      <c r="J43" s="2">
        <f>Table1[[#This Row],[Sales]]-Table1[[#This Row],[Cost]]</f>
        <v>240</v>
      </c>
      <c r="K43" s="3">
        <v>44977</v>
      </c>
      <c r="L43" s="3">
        <v>44986</v>
      </c>
      <c r="M43" s="4">
        <v>800</v>
      </c>
      <c r="N43" s="27">
        <v>0.1875</v>
      </c>
      <c r="O43" s="4" t="s">
        <v>127</v>
      </c>
      <c r="P43" s="4" t="s">
        <v>124</v>
      </c>
      <c r="Q43" s="4" t="s">
        <v>120</v>
      </c>
      <c r="R43" s="4" t="s">
        <v>116</v>
      </c>
      <c r="S43" s="4" t="s">
        <v>265</v>
      </c>
      <c r="T43" s="18">
        <v>0</v>
      </c>
      <c r="U43" s="29" t="str">
        <f>IF(Table1[[#This Row],[Profit]]&gt;800,"High Profit","Low Profit")</f>
        <v>Low Profit</v>
      </c>
      <c r="V43" s="29" t="str">
        <f>IF(AND(Table1[[#This Row],[Quantity]]&gt;2,Table1[[#This Row],[Discount]]&gt;0.04),"Bulk Deal","Ok Deal")</f>
        <v>Ok Deal</v>
      </c>
      <c r="W43" s="29" t="str">
        <f>IF(OR(Table1[[#This Row],[Region]]="East",Table1[[#This Row],[Region]]="West"),"High Priority Region","Only Region")</f>
        <v>High Priority Region</v>
      </c>
      <c r="X43" s="29" t="str">
        <f>LEFT(Table1[[#This Row],[Product Name]],5)</f>
        <v>Mouse</v>
      </c>
      <c r="Y43" s="29">
        <f>MONTH(Table1[[#This Row],[Order Date]])</f>
        <v>2</v>
      </c>
      <c r="Z43" s="29" t="str">
        <f>RIGHT(Table1[[#This Row],[Customer Name]],LEN(Table1[[#This Row],[Customer Name]])-FIND(" ",Table1[[#This Row],[Customer Name]])) &amp; ",  " &amp; LEFT(Table1[[#This Row],[Customer Name]],FIND(" ",Table1[[#This Row],[Customer Name]])-1)</f>
        <v>Turner,  Peter</v>
      </c>
      <c r="AA43" s="30">
        <f>Table1[[#This Row],[Order Date]]-10</f>
        <v>44967</v>
      </c>
      <c r="AB43" s="29" t="str">
        <f>TEXT(Table1[[#This Row],[Discount]],"0%")</f>
        <v>0%</v>
      </c>
      <c r="AC43" s="30">
        <f t="shared" si="0"/>
        <v>44987</v>
      </c>
      <c r="AD43" s="29">
        <f>YEAR(Table1[[#This Row],[Order Date]])</f>
        <v>2023</v>
      </c>
      <c r="AE43" s="30">
        <v>30294</v>
      </c>
      <c r="AF43" s="29">
        <f ca="1">DATEDIF(Table1[[#This Row],[Birthdate]],TODAY(),"Y")</f>
        <v>43</v>
      </c>
      <c r="AG43" s="29">
        <f>WEEKNUM(Table1[[#This Row],[Order Date]])</f>
        <v>8</v>
      </c>
      <c r="AH43" s="29">
        <f>NETWORKDAYS(Table1[[#This Row],[Order Date]],Table1[[#This Row],[Delivery Date]])</f>
        <v>8</v>
      </c>
      <c r="AI43" s="29">
        <f>WEEKDAY(Table1[[#This Row],[Order Date]])</f>
        <v>2</v>
      </c>
      <c r="AJ43" s="31" t="str">
        <f ca="1">IF(Table1[[#This Row],[Order Date]]&lt;TODAY(),"Old Order","New Order")</f>
        <v>Old Order</v>
      </c>
      <c r="AK43" s="29">
        <f ca="1">RANK(Table1[[#This Row],[Sales]],Table1[[#All],[Order ID]:[OrderDate]])</f>
        <v>462</v>
      </c>
      <c r="AL43" s="7">
        <f ca="1">SUM(OFFSET(K43,10,0,COUNTA(Table1[[#All],[Sales]])-1))</f>
        <v>0</v>
      </c>
      <c r="AM43" s="30">
        <f t="shared" si="1"/>
        <v>44978</v>
      </c>
      <c r="AN43" s="29" t="str" cm="1">
        <f t="array" ref="AN43">_xlfn.IFS(Table1[[#This Row],[Profit]]&gt;3000,"A",Table1[[#This Row],[Profit]]&gt;1000,"B",Table1[[#This Row],[Profit]]&gt;500,"C",TRUE,"D")</f>
        <v>D</v>
      </c>
      <c r="AO43" s="29">
        <f>SUM($F$2:F43)</f>
        <v>280480</v>
      </c>
      <c r="AP43" s="29">
        <v>1511993</v>
      </c>
      <c r="AQ43" s="29">
        <v>11</v>
      </c>
      <c r="AR43" s="29">
        <v>5</v>
      </c>
      <c r="AS43" s="37">
        <f>PMT(Table1[[#This Row],[Loan Amount]]/12,Table1[[#This Row],[Interest Rate]],-Table1[[#This Row],[Tenure (Months)]])</f>
        <v>629997.08333333337</v>
      </c>
      <c r="AU43" s="43" t="s">
        <v>488</v>
      </c>
      <c r="AV43">
        <v>314900</v>
      </c>
      <c r="AY43" s="43" t="s">
        <v>488</v>
      </c>
      <c r="AZ43">
        <v>94470</v>
      </c>
      <c r="CN43" s="39">
        <v>2068505</v>
      </c>
      <c r="CO43" s="39">
        <v>11</v>
      </c>
      <c r="CP43" s="39">
        <v>11</v>
      </c>
      <c r="CQ43" s="40">
        <f>PMT(Table1[[#This Row],[Loan Amount]]/12,Table1[[#This Row],[Interest Rate]],-Table1[[#This Row],[Tenure (Months)]])</f>
        <v>629997.08333333337</v>
      </c>
    </row>
    <row r="44" spans="1:95">
      <c r="A44" s="17">
        <v>1043</v>
      </c>
      <c r="B44" s="2" t="s">
        <v>96</v>
      </c>
      <c r="C44" s="2" t="s">
        <v>19</v>
      </c>
      <c r="D44" s="2" t="s">
        <v>12</v>
      </c>
      <c r="E44" s="2" t="s">
        <v>30</v>
      </c>
      <c r="F44" s="2">
        <v>2500</v>
      </c>
      <c r="G44" s="2">
        <f>Table1[[#This Row],[Sales]]*0.7</f>
        <v>1750</v>
      </c>
      <c r="H44" s="2">
        <v>1</v>
      </c>
      <c r="I44" s="2">
        <v>0.1</v>
      </c>
      <c r="J44" s="2">
        <f>Table1[[#This Row],[Sales]]-Table1[[#This Row],[Cost]]</f>
        <v>750</v>
      </c>
      <c r="K44" s="3">
        <v>44978</v>
      </c>
      <c r="L44" s="3">
        <v>44979</v>
      </c>
      <c r="M44" s="4">
        <v>2250</v>
      </c>
      <c r="N44" s="27">
        <v>0.16</v>
      </c>
      <c r="O44" s="4" t="s">
        <v>127</v>
      </c>
      <c r="P44" s="4" t="s">
        <v>117</v>
      </c>
      <c r="Q44" s="4" t="s">
        <v>115</v>
      </c>
      <c r="R44" s="4" t="s">
        <v>116</v>
      </c>
      <c r="S44" s="4" t="s">
        <v>264</v>
      </c>
      <c r="T44" s="18">
        <v>250</v>
      </c>
      <c r="U44" s="29" t="str">
        <f>IF(Table1[[#This Row],[Profit]]&gt;800,"High Profit","Low Profit")</f>
        <v>Low Profit</v>
      </c>
      <c r="V44" s="29" t="str">
        <f>IF(AND(Table1[[#This Row],[Quantity]]&gt;2,Table1[[#This Row],[Discount]]&gt;0.04),"Bulk Deal","Ok Deal")</f>
        <v>Ok Deal</v>
      </c>
      <c r="W44" s="29" t="str">
        <f>IF(OR(Table1[[#This Row],[Region]]="East",Table1[[#This Row],[Region]]="West"),"High Priority Region","Only Region")</f>
        <v>Only Region</v>
      </c>
      <c r="X44" s="29" t="str">
        <f>LEFT(Table1[[#This Row],[Product Name]],5)</f>
        <v>Cabin</v>
      </c>
      <c r="Y44" s="29">
        <f>MONTH(Table1[[#This Row],[Order Date]])</f>
        <v>2</v>
      </c>
      <c r="Z44" s="29" t="str">
        <f>RIGHT(Table1[[#This Row],[Customer Name]],LEN(Table1[[#This Row],[Customer Name]])-FIND(" ",Table1[[#This Row],[Customer Name]])) &amp; ",  " &amp; LEFT(Table1[[#This Row],[Customer Name]],FIND(" ",Table1[[#This Row],[Customer Name]])-1)</f>
        <v>Young,  Quinn</v>
      </c>
      <c r="AA44" s="30">
        <f>Table1[[#This Row],[Order Date]]-10</f>
        <v>44968</v>
      </c>
      <c r="AB44" s="29" t="str">
        <f>TEXT(Table1[[#This Row],[Discount]],"0%")</f>
        <v>10%</v>
      </c>
      <c r="AC44" s="30">
        <f t="shared" si="0"/>
        <v>44988</v>
      </c>
      <c r="AD44" s="29">
        <f>YEAR(Table1[[#This Row],[Order Date]])</f>
        <v>2023</v>
      </c>
      <c r="AE44" s="30">
        <v>34350</v>
      </c>
      <c r="AF44" s="29">
        <f ca="1">DATEDIF(Table1[[#This Row],[Birthdate]],TODAY(),"Y")</f>
        <v>32</v>
      </c>
      <c r="AG44" s="29">
        <f>WEEKNUM(Table1[[#This Row],[Order Date]])</f>
        <v>8</v>
      </c>
      <c r="AH44" s="29">
        <f>NETWORKDAYS(Table1[[#This Row],[Order Date]],Table1[[#This Row],[Delivery Date]])</f>
        <v>2</v>
      </c>
      <c r="AI44" s="29">
        <f>WEEKDAY(Table1[[#This Row],[Order Date]])</f>
        <v>3</v>
      </c>
      <c r="AJ44" s="31" t="str">
        <f ca="1">IF(Table1[[#This Row],[Order Date]]&lt;TODAY(),"Old Order","New Order")</f>
        <v>Old Order</v>
      </c>
      <c r="AK44" s="29">
        <f ca="1">RANK(Table1[[#This Row],[Sales]],Table1[[#All],[Order ID]:[OrderDate]])</f>
        <v>321</v>
      </c>
      <c r="AL44" s="7">
        <f ca="1">SUM(OFFSET(K44,10,0,COUNTA(Table1[[#All],[Sales]])-1))</f>
        <v>0</v>
      </c>
      <c r="AM44" s="30">
        <f t="shared" si="1"/>
        <v>44979</v>
      </c>
      <c r="AN44" s="29" t="str" cm="1">
        <f t="array" ref="AN44">_xlfn.IFS(Table1[[#This Row],[Profit]]&gt;3000,"A",Table1[[#This Row],[Profit]]&gt;1000,"B",Table1[[#This Row],[Profit]]&gt;500,"C",TRUE,"D")</f>
        <v>C</v>
      </c>
      <c r="AO44" s="29">
        <f>SUM($F$2:F44)</f>
        <v>282980</v>
      </c>
      <c r="AP44" s="29">
        <v>1714576</v>
      </c>
      <c r="AQ44" s="29">
        <v>12</v>
      </c>
      <c r="AR44" s="29">
        <v>5</v>
      </c>
      <c r="AS44" s="37">
        <f>PMT(Table1[[#This Row],[Loan Amount]]/12,Table1[[#This Row],[Interest Rate]],-Table1[[#This Row],[Tenure (Months)]])</f>
        <v>714406.66666666674</v>
      </c>
      <c r="CN44" s="41">
        <v>2105876</v>
      </c>
      <c r="CO44" s="41">
        <v>10</v>
      </c>
      <c r="CP44" s="41">
        <v>12</v>
      </c>
      <c r="CQ44" s="40">
        <f>PMT(Table1[[#This Row],[Loan Amount]]/12,Table1[[#This Row],[Interest Rate]],-Table1[[#This Row],[Tenure (Months)]])</f>
        <v>714406.66666666674</v>
      </c>
    </row>
    <row r="45" spans="1:95">
      <c r="A45" s="17">
        <v>1044</v>
      </c>
      <c r="B45" s="2" t="s">
        <v>97</v>
      </c>
      <c r="C45" s="2" t="s">
        <v>23</v>
      </c>
      <c r="D45" s="2" t="s">
        <v>16</v>
      </c>
      <c r="E45" s="2" t="s">
        <v>32</v>
      </c>
      <c r="F45" s="2">
        <v>200</v>
      </c>
      <c r="G45" s="2">
        <f>Table1[[#This Row],[Sales]]*0.7</f>
        <v>140</v>
      </c>
      <c r="H45" s="2">
        <v>4</v>
      </c>
      <c r="I45" s="2">
        <v>0</v>
      </c>
      <c r="J45" s="2">
        <f>Table1[[#This Row],[Sales]]-Table1[[#This Row],[Cost]]</f>
        <v>60</v>
      </c>
      <c r="K45" s="3">
        <v>44979</v>
      </c>
      <c r="L45" s="3">
        <v>44981</v>
      </c>
      <c r="M45" s="4">
        <v>200</v>
      </c>
      <c r="N45" s="27">
        <v>0.2</v>
      </c>
      <c r="O45" s="4" t="s">
        <v>127</v>
      </c>
      <c r="P45" s="4" t="s">
        <v>125</v>
      </c>
      <c r="Q45" s="4" t="s">
        <v>118</v>
      </c>
      <c r="R45" s="4" t="s">
        <v>116</v>
      </c>
      <c r="S45" s="4" t="s">
        <v>264</v>
      </c>
      <c r="T45" s="18">
        <v>0</v>
      </c>
      <c r="U45" s="29" t="str">
        <f>IF(Table1[[#This Row],[Profit]]&gt;800,"High Profit","Low Profit")</f>
        <v>Low Profit</v>
      </c>
      <c r="V45" s="29" t="str">
        <f>IF(AND(Table1[[#This Row],[Quantity]]&gt;2,Table1[[#This Row],[Discount]]&gt;0.04),"Bulk Deal","Ok Deal")</f>
        <v>Ok Deal</v>
      </c>
      <c r="W45" s="29" t="str">
        <f>IF(OR(Table1[[#This Row],[Region]]="East",Table1[[#This Row],[Region]]="West"),"High Priority Region","Only Region")</f>
        <v>Only Region</v>
      </c>
      <c r="X45" s="29" t="str">
        <f>LEFT(Table1[[#This Row],[Product Name]],5)</f>
        <v>Noteb</v>
      </c>
      <c r="Y45" s="29">
        <f>MONTH(Table1[[#This Row],[Order Date]])</f>
        <v>2</v>
      </c>
      <c r="Z45" s="29" t="str">
        <f>RIGHT(Table1[[#This Row],[Customer Name]],LEN(Table1[[#This Row],[Customer Name]])-FIND(" ",Table1[[#This Row],[Customer Name]])) &amp; ",  " &amp; LEFT(Table1[[#This Row],[Customer Name]],FIND(" ",Table1[[#This Row],[Customer Name]])-1)</f>
        <v>Adams,  Rachel</v>
      </c>
      <c r="AA45" s="30">
        <f>Table1[[#This Row],[Order Date]]-10</f>
        <v>44969</v>
      </c>
      <c r="AB45" s="29" t="str">
        <f>TEXT(Table1[[#This Row],[Discount]],"0%")</f>
        <v>0%</v>
      </c>
      <c r="AC45" s="30">
        <f t="shared" si="0"/>
        <v>44989</v>
      </c>
      <c r="AD45" s="29">
        <f>YEAR(Table1[[#This Row],[Order Date]])</f>
        <v>2023</v>
      </c>
      <c r="AE45" s="30">
        <v>35082</v>
      </c>
      <c r="AF45" s="29">
        <f ca="1">DATEDIF(Table1[[#This Row],[Birthdate]],TODAY(),"Y")</f>
        <v>29</v>
      </c>
      <c r="AG45" s="29">
        <f>WEEKNUM(Table1[[#This Row],[Order Date]])</f>
        <v>8</v>
      </c>
      <c r="AH45" s="29">
        <f>NETWORKDAYS(Table1[[#This Row],[Order Date]],Table1[[#This Row],[Delivery Date]])</f>
        <v>3</v>
      </c>
      <c r="AI45" s="29">
        <f>WEEKDAY(Table1[[#This Row],[Order Date]])</f>
        <v>4</v>
      </c>
      <c r="AJ45" s="31" t="str">
        <f ca="1">IF(Table1[[#This Row],[Order Date]]&lt;TODAY(),"Old Order","New Order")</f>
        <v>Old Order</v>
      </c>
      <c r="AK45" s="29">
        <f ca="1">RANK(Table1[[#This Row],[Sales]],Table1[[#All],[Order ID]:[OrderDate]])</f>
        <v>506</v>
      </c>
      <c r="AL45" s="7">
        <f ca="1">SUM(OFFSET(K45,10,0,COUNTA(Table1[[#All],[Sales]])-1))</f>
        <v>0</v>
      </c>
      <c r="AM45" s="30">
        <f t="shared" si="1"/>
        <v>44980</v>
      </c>
      <c r="AN45" s="29" t="str" cm="1">
        <f t="array" ref="AN45">_xlfn.IFS(Table1[[#This Row],[Profit]]&gt;3000,"A",Table1[[#This Row],[Profit]]&gt;1000,"B",Table1[[#This Row],[Profit]]&gt;500,"C",TRUE,"D")</f>
        <v>D</v>
      </c>
      <c r="AO45" s="29">
        <f>SUM($F$2:F45)</f>
        <v>283180</v>
      </c>
      <c r="AP45" s="29">
        <v>1239518</v>
      </c>
      <c r="AQ45" s="29">
        <v>11</v>
      </c>
      <c r="AR45" s="29">
        <v>10</v>
      </c>
      <c r="AS45" s="37">
        <f>PMT(Table1[[#This Row],[Loan Amount]]/12,Table1[[#This Row],[Interest Rate]],-Table1[[#This Row],[Tenure (Months)]])</f>
        <v>1032931.6666666667</v>
      </c>
      <c r="AU45" s="42" t="s">
        <v>487</v>
      </c>
      <c r="AV45" t="s">
        <v>490</v>
      </c>
      <c r="AY45" s="42" t="s">
        <v>487</v>
      </c>
      <c r="AZ45" t="s">
        <v>489</v>
      </c>
      <c r="CN45" s="39">
        <v>2234410</v>
      </c>
      <c r="CO45" s="39">
        <v>10</v>
      </c>
      <c r="CP45" s="39">
        <v>7</v>
      </c>
      <c r="CQ45" s="40">
        <f>PMT(Table1[[#This Row],[Loan Amount]]/12,Table1[[#This Row],[Interest Rate]],-Table1[[#This Row],[Tenure (Months)]])</f>
        <v>1032931.6666666667</v>
      </c>
    </row>
    <row r="46" spans="1:95">
      <c r="A46" s="17">
        <v>1045</v>
      </c>
      <c r="B46" s="2" t="s">
        <v>98</v>
      </c>
      <c r="C46" s="2" t="s">
        <v>11</v>
      </c>
      <c r="D46" s="2" t="s">
        <v>20</v>
      </c>
      <c r="E46" s="2" t="s">
        <v>34</v>
      </c>
      <c r="F46" s="2">
        <v>12000</v>
      </c>
      <c r="G46" s="2">
        <f>Table1[[#This Row],[Sales]]*0.7</f>
        <v>8400</v>
      </c>
      <c r="H46" s="2">
        <v>1</v>
      </c>
      <c r="I46" s="2">
        <v>0.1</v>
      </c>
      <c r="J46" s="2">
        <f>Table1[[#This Row],[Sales]]-Table1[[#This Row],[Cost]]</f>
        <v>3600</v>
      </c>
      <c r="K46" s="3">
        <v>44980</v>
      </c>
      <c r="L46" s="3">
        <v>44983</v>
      </c>
      <c r="M46" s="4">
        <v>10800</v>
      </c>
      <c r="N46" s="27">
        <v>0.125</v>
      </c>
      <c r="O46" s="4" t="s">
        <v>127</v>
      </c>
      <c r="P46" s="4" t="s">
        <v>119</v>
      </c>
      <c r="Q46" s="4" t="s">
        <v>120</v>
      </c>
      <c r="R46" s="4" t="s">
        <v>121</v>
      </c>
      <c r="S46" s="4" t="s">
        <v>264</v>
      </c>
      <c r="T46" s="18">
        <v>1200</v>
      </c>
      <c r="U46" s="29" t="str">
        <f>IF(Table1[[#This Row],[Profit]]&gt;800,"High Profit","Low Profit")</f>
        <v>High Profit</v>
      </c>
      <c r="V46" s="29" t="str">
        <f>IF(AND(Table1[[#This Row],[Quantity]]&gt;2,Table1[[#This Row],[Discount]]&gt;0.04),"Bulk Deal","Ok Deal")</f>
        <v>Ok Deal</v>
      </c>
      <c r="W46" s="29" t="str">
        <f>IF(OR(Table1[[#This Row],[Region]]="East",Table1[[#This Row],[Region]]="West"),"High Priority Region","Only Region")</f>
        <v>High Priority Region</v>
      </c>
      <c r="X46" s="29" t="str">
        <f>LEFT(Table1[[#This Row],[Product Name]],5)</f>
        <v>Print</v>
      </c>
      <c r="Y46" s="29">
        <f>MONTH(Table1[[#This Row],[Order Date]])</f>
        <v>2</v>
      </c>
      <c r="Z46" s="29" t="str">
        <f>RIGHT(Table1[[#This Row],[Customer Name]],LEN(Table1[[#This Row],[Customer Name]])-FIND(" ",Table1[[#This Row],[Customer Name]])) &amp; ",  " &amp; LEFT(Table1[[#This Row],[Customer Name]],FIND(" ",Table1[[#This Row],[Customer Name]])-1)</f>
        <v>Roberts,  Steve</v>
      </c>
      <c r="AA46" s="30">
        <f>Table1[[#This Row],[Order Date]]-10</f>
        <v>44970</v>
      </c>
      <c r="AB46" s="29" t="str">
        <f>TEXT(Table1[[#This Row],[Discount]],"0%")</f>
        <v>10%</v>
      </c>
      <c r="AC46" s="30">
        <f t="shared" si="0"/>
        <v>44990</v>
      </c>
      <c r="AD46" s="29">
        <f>YEAR(Table1[[#This Row],[Order Date]])</f>
        <v>2023</v>
      </c>
      <c r="AE46" s="30">
        <v>36560</v>
      </c>
      <c r="AF46" s="29">
        <f ca="1">DATEDIF(Table1[[#This Row],[Birthdate]],TODAY(),"Y")</f>
        <v>25</v>
      </c>
      <c r="AG46" s="29">
        <f>WEEKNUM(Table1[[#This Row],[Order Date]])</f>
        <v>8</v>
      </c>
      <c r="AH46" s="29">
        <f>NETWORKDAYS(Table1[[#This Row],[Order Date]],Table1[[#This Row],[Delivery Date]])</f>
        <v>2</v>
      </c>
      <c r="AI46" s="29">
        <f>WEEKDAY(Table1[[#This Row],[Order Date]])</f>
        <v>5</v>
      </c>
      <c r="AJ46" s="31" t="str">
        <f ca="1">IF(Table1[[#This Row],[Order Date]]&lt;TODAY(),"Old Order","New Order")</f>
        <v>Old Order</v>
      </c>
      <c r="AK46" s="29">
        <f ca="1">RANK(Table1[[#This Row],[Sales]],Table1[[#All],[Order ID]:[OrderDate]])</f>
        <v>262</v>
      </c>
      <c r="AL46" s="7">
        <f ca="1">SUM(OFFSET(K46,10,0,COUNTA(Table1[[#All],[Sales]])-1))</f>
        <v>0</v>
      </c>
      <c r="AM46" s="30">
        <f t="shared" si="1"/>
        <v>44981</v>
      </c>
      <c r="AN46" s="29" t="str" cm="1">
        <f t="array" ref="AN46">_xlfn.IFS(Table1[[#This Row],[Profit]]&gt;3000,"A",Table1[[#This Row],[Profit]]&gt;1000,"B",Table1[[#This Row],[Profit]]&gt;500,"C",TRUE,"D")</f>
        <v>A</v>
      </c>
      <c r="AO46" s="29">
        <f>SUM($F$2:F46)</f>
        <v>295180</v>
      </c>
      <c r="AP46" s="29">
        <v>2463669</v>
      </c>
      <c r="AQ46" s="29">
        <v>8</v>
      </c>
      <c r="AR46" s="29">
        <v>11</v>
      </c>
      <c r="AS46" s="37">
        <f>PMT(Table1[[#This Row],[Loan Amount]]/12,Table1[[#This Row],[Interest Rate]],-Table1[[#This Row],[Tenure (Months)]])</f>
        <v>2258363.25</v>
      </c>
      <c r="AU46" s="43" t="s">
        <v>12</v>
      </c>
      <c r="AV46">
        <v>31710</v>
      </c>
      <c r="AY46" s="43" t="s">
        <v>12</v>
      </c>
      <c r="AZ46">
        <v>105700</v>
      </c>
      <c r="CN46" s="41">
        <v>1137631</v>
      </c>
      <c r="CO46" s="41">
        <v>8</v>
      </c>
      <c r="CP46" s="41">
        <v>9</v>
      </c>
      <c r="CQ46" s="40">
        <f>PMT(Table1[[#This Row],[Loan Amount]]/12,Table1[[#This Row],[Interest Rate]],-Table1[[#This Row],[Tenure (Months)]])</f>
        <v>2258363.25</v>
      </c>
    </row>
    <row r="47" spans="1:95">
      <c r="A47" s="17">
        <v>1046</v>
      </c>
      <c r="B47" s="2" t="s">
        <v>99</v>
      </c>
      <c r="C47" s="2" t="s">
        <v>15</v>
      </c>
      <c r="D47" s="2" t="s">
        <v>12</v>
      </c>
      <c r="E47" s="2" t="s">
        <v>36</v>
      </c>
      <c r="F47" s="2">
        <v>15000</v>
      </c>
      <c r="G47" s="2">
        <f>Table1[[#This Row],[Sales]]*0.7</f>
        <v>10500</v>
      </c>
      <c r="H47" s="2">
        <v>1</v>
      </c>
      <c r="I47" s="2">
        <v>0.2</v>
      </c>
      <c r="J47" s="2">
        <f>Table1[[#This Row],[Sales]]-Table1[[#This Row],[Cost]]</f>
        <v>4500</v>
      </c>
      <c r="K47" s="3">
        <v>44981</v>
      </c>
      <c r="L47" s="3">
        <v>44989</v>
      </c>
      <c r="M47" s="4">
        <v>12000</v>
      </c>
      <c r="N47" s="27">
        <v>0.16666666666666666</v>
      </c>
      <c r="O47" s="4" t="s">
        <v>127</v>
      </c>
      <c r="P47" s="4" t="s">
        <v>126</v>
      </c>
      <c r="Q47" s="4" t="s">
        <v>115</v>
      </c>
      <c r="R47" s="4" t="s">
        <v>121</v>
      </c>
      <c r="S47" s="4" t="s">
        <v>265</v>
      </c>
      <c r="T47" s="18">
        <v>3000</v>
      </c>
      <c r="U47" s="29" t="str">
        <f>IF(Table1[[#This Row],[Profit]]&gt;800,"High Profit","Low Profit")</f>
        <v>High Profit</v>
      </c>
      <c r="V47" s="29" t="str">
        <f>IF(AND(Table1[[#This Row],[Quantity]]&gt;2,Table1[[#This Row],[Discount]]&gt;0.04),"Bulk Deal","Ok Deal")</f>
        <v>Ok Deal</v>
      </c>
      <c r="W47" s="29" t="str">
        <f>IF(OR(Table1[[#This Row],[Region]]="East",Table1[[#This Row],[Region]]="West"),"High Priority Region","Only Region")</f>
        <v>High Priority Region</v>
      </c>
      <c r="X47" s="29" t="str">
        <f>LEFT(Table1[[#This Row],[Product Name]],5)</f>
        <v>Sofa</v>
      </c>
      <c r="Y47" s="29">
        <f>MONTH(Table1[[#This Row],[Order Date]])</f>
        <v>2</v>
      </c>
      <c r="Z47" s="29" t="str">
        <f>RIGHT(Table1[[#This Row],[Customer Name]],LEN(Table1[[#This Row],[Customer Name]])-FIND(" ",Table1[[#This Row],[Customer Name]])) &amp; ",  " &amp; LEFT(Table1[[#This Row],[Customer Name]],FIND(" ",Table1[[#This Row],[Customer Name]])-1)</f>
        <v>Lewis,  Tina</v>
      </c>
      <c r="AA47" s="30">
        <f>Table1[[#This Row],[Order Date]]-10</f>
        <v>44971</v>
      </c>
      <c r="AB47" s="29" t="str">
        <f>TEXT(Table1[[#This Row],[Discount]],"0%")</f>
        <v>20%</v>
      </c>
      <c r="AC47" s="30">
        <f t="shared" si="0"/>
        <v>44991</v>
      </c>
      <c r="AD47" s="29">
        <f>YEAR(Table1[[#This Row],[Order Date]])</f>
        <v>2023</v>
      </c>
      <c r="AE47" s="30">
        <v>30783</v>
      </c>
      <c r="AF47" s="29">
        <f ca="1">DATEDIF(Table1[[#This Row],[Birthdate]],TODAY(),"Y")</f>
        <v>41</v>
      </c>
      <c r="AG47" s="29">
        <f>WEEKNUM(Table1[[#This Row],[Order Date]])</f>
        <v>8</v>
      </c>
      <c r="AH47" s="29">
        <f>NETWORKDAYS(Table1[[#This Row],[Order Date]],Table1[[#This Row],[Delivery Date]])</f>
        <v>6</v>
      </c>
      <c r="AI47" s="29">
        <f>WEEKDAY(Table1[[#This Row],[Order Date]])</f>
        <v>6</v>
      </c>
      <c r="AJ47" s="31" t="str">
        <f ca="1">IF(Table1[[#This Row],[Order Date]]&lt;TODAY(),"Old Order","New Order")</f>
        <v>Old Order</v>
      </c>
      <c r="AK47" s="29">
        <f ca="1">RANK(Table1[[#This Row],[Sales]],Table1[[#All],[Order ID]:[OrderDate]])</f>
        <v>259</v>
      </c>
      <c r="AL47" s="7">
        <f ca="1">SUM(OFFSET(K47,10,0,COUNTA(Table1[[#All],[Sales]])-1))</f>
        <v>0</v>
      </c>
      <c r="AM47" s="30">
        <f t="shared" si="1"/>
        <v>44982</v>
      </c>
      <c r="AN47" s="29" t="str" cm="1">
        <f t="array" ref="AN47">_xlfn.IFS(Table1[[#This Row],[Profit]]&gt;3000,"A",Table1[[#This Row],[Profit]]&gt;1000,"B",Table1[[#This Row],[Profit]]&gt;500,"C",TRUE,"D")</f>
        <v>A</v>
      </c>
      <c r="AO47" s="29">
        <f>SUM($F$2:F47)</f>
        <v>310180</v>
      </c>
      <c r="AP47" s="29">
        <v>1131456</v>
      </c>
      <c r="AQ47" s="29">
        <v>8</v>
      </c>
      <c r="AR47" s="29">
        <v>7</v>
      </c>
      <c r="AS47" s="37">
        <f>PMT(Table1[[#This Row],[Loan Amount]]/12,Table1[[#This Row],[Interest Rate]],-Table1[[#This Row],[Tenure (Months)]])</f>
        <v>660016</v>
      </c>
      <c r="AU47" s="43" t="s">
        <v>16</v>
      </c>
      <c r="AV47">
        <v>780</v>
      </c>
      <c r="AY47" s="43" t="s">
        <v>16</v>
      </c>
      <c r="AZ47">
        <v>2600</v>
      </c>
      <c r="CN47" s="39">
        <v>2164701</v>
      </c>
      <c r="CO47" s="39">
        <v>12</v>
      </c>
      <c r="CP47" s="39">
        <v>9</v>
      </c>
      <c r="CQ47" s="40">
        <f>PMT(Table1[[#This Row],[Loan Amount]]/12,Table1[[#This Row],[Interest Rate]],-Table1[[#This Row],[Tenure (Months)]])</f>
        <v>660016</v>
      </c>
    </row>
    <row r="48" spans="1:95">
      <c r="A48" s="17">
        <v>1047</v>
      </c>
      <c r="B48" s="2" t="s">
        <v>100</v>
      </c>
      <c r="C48" s="2" t="s">
        <v>19</v>
      </c>
      <c r="D48" s="2" t="s">
        <v>16</v>
      </c>
      <c r="E48" s="2" t="s">
        <v>38</v>
      </c>
      <c r="F48" s="2">
        <v>100</v>
      </c>
      <c r="G48" s="2">
        <f>Table1[[#This Row],[Sales]]*0.7</f>
        <v>70</v>
      </c>
      <c r="H48" s="2">
        <v>10</v>
      </c>
      <c r="I48" s="2">
        <v>0</v>
      </c>
      <c r="J48" s="2">
        <f>Table1[[#This Row],[Sales]]-Table1[[#This Row],[Cost]]</f>
        <v>30</v>
      </c>
      <c r="K48" s="3">
        <v>44982</v>
      </c>
      <c r="L48" s="3">
        <v>44986</v>
      </c>
      <c r="M48" s="4">
        <v>100</v>
      </c>
      <c r="N48" s="27">
        <v>0.2</v>
      </c>
      <c r="O48" s="4" t="s">
        <v>127</v>
      </c>
      <c r="P48" s="4" t="s">
        <v>122</v>
      </c>
      <c r="Q48" s="4" t="s">
        <v>118</v>
      </c>
      <c r="R48" s="4" t="s">
        <v>116</v>
      </c>
      <c r="S48" s="4" t="s">
        <v>264</v>
      </c>
      <c r="T48" s="18">
        <v>0</v>
      </c>
      <c r="U48" s="29" t="str">
        <f>IF(Table1[[#This Row],[Profit]]&gt;800,"High Profit","Low Profit")</f>
        <v>Low Profit</v>
      </c>
      <c r="V48" s="29" t="str">
        <f>IF(AND(Table1[[#This Row],[Quantity]]&gt;2,Table1[[#This Row],[Discount]]&gt;0.04),"Bulk Deal","Ok Deal")</f>
        <v>Ok Deal</v>
      </c>
      <c r="W48" s="29" t="str">
        <f>IF(OR(Table1[[#This Row],[Region]]="East",Table1[[#This Row],[Region]]="West"),"High Priority Region","Only Region")</f>
        <v>Only Region</v>
      </c>
      <c r="X48" s="29" t="str">
        <f>LEFT(Table1[[#This Row],[Product Name]],5)</f>
        <v>Paper</v>
      </c>
      <c r="Y48" s="29">
        <f>MONTH(Table1[[#This Row],[Order Date]])</f>
        <v>2</v>
      </c>
      <c r="Z48" s="29" t="str">
        <f>RIGHT(Table1[[#This Row],[Customer Name]],LEN(Table1[[#This Row],[Customer Name]])-FIND(" ",Table1[[#This Row],[Customer Name]])) &amp; ",  " &amp; LEFT(Table1[[#This Row],[Customer Name]],FIND(" ",Table1[[#This Row],[Customer Name]])-1)</f>
        <v>Baker,  Uma</v>
      </c>
      <c r="AA48" s="30">
        <f>Table1[[#This Row],[Order Date]]-10</f>
        <v>44972</v>
      </c>
      <c r="AB48" s="29" t="str">
        <f>TEXT(Table1[[#This Row],[Discount]],"0%")</f>
        <v>0%</v>
      </c>
      <c r="AC48" s="30">
        <f t="shared" si="0"/>
        <v>44992</v>
      </c>
      <c r="AD48" s="29">
        <f>YEAR(Table1[[#This Row],[Order Date]])</f>
        <v>2023</v>
      </c>
      <c r="AE48" s="30">
        <v>37091</v>
      </c>
      <c r="AF48" s="29">
        <f ca="1">DATEDIF(Table1[[#This Row],[Birthdate]],TODAY(),"Y")</f>
        <v>24</v>
      </c>
      <c r="AG48" s="29">
        <f>WEEKNUM(Table1[[#This Row],[Order Date]])</f>
        <v>8</v>
      </c>
      <c r="AH48" s="29">
        <f>NETWORKDAYS(Table1[[#This Row],[Order Date]],Table1[[#This Row],[Delivery Date]])</f>
        <v>3</v>
      </c>
      <c r="AI48" s="29">
        <f>WEEKDAY(Table1[[#This Row],[Order Date]])</f>
        <v>7</v>
      </c>
      <c r="AJ48" s="31" t="str">
        <f ca="1">IF(Table1[[#This Row],[Order Date]]&lt;TODAY(),"Old Order","New Order")</f>
        <v>Old Order</v>
      </c>
      <c r="AK48" s="29">
        <f ca="1">RANK(Table1[[#This Row],[Sales]],Table1[[#All],[Order ID]:[OrderDate]])</f>
        <v>537</v>
      </c>
      <c r="AL48" s="7">
        <f ca="1">SUM(OFFSET(K48,10,0,COUNTA(Table1[[#All],[Sales]])-1))</f>
        <v>0</v>
      </c>
      <c r="AM48" s="30">
        <f t="shared" si="1"/>
        <v>44983</v>
      </c>
      <c r="AN48" s="29" t="str" cm="1">
        <f t="array" ref="AN48">_xlfn.IFS(Table1[[#This Row],[Profit]]&gt;3000,"A",Table1[[#This Row],[Profit]]&gt;1000,"B",Table1[[#This Row],[Profit]]&gt;500,"C",TRUE,"D")</f>
        <v>D</v>
      </c>
      <c r="AO48" s="29">
        <f>SUM($F$2:F48)</f>
        <v>310280</v>
      </c>
      <c r="AP48" s="29">
        <v>1537352</v>
      </c>
      <c r="AQ48" s="29">
        <v>9</v>
      </c>
      <c r="AR48" s="29">
        <v>5</v>
      </c>
      <c r="AS48" s="37">
        <f>PMT(Table1[[#This Row],[Loan Amount]]/12,Table1[[#This Row],[Interest Rate]],-Table1[[#This Row],[Tenure (Months)]])</f>
        <v>640563.33333333337</v>
      </c>
      <c r="AU48" s="43" t="s">
        <v>20</v>
      </c>
      <c r="AV48">
        <v>61980</v>
      </c>
      <c r="AY48" s="43" t="s">
        <v>20</v>
      </c>
      <c r="AZ48">
        <v>206600</v>
      </c>
      <c r="CN48" s="41">
        <v>2029710</v>
      </c>
      <c r="CO48" s="41">
        <v>11</v>
      </c>
      <c r="CP48" s="41">
        <v>12</v>
      </c>
      <c r="CQ48" s="40">
        <f>PMT(Table1[[#This Row],[Loan Amount]]/12,Table1[[#This Row],[Interest Rate]],-Table1[[#This Row],[Tenure (Months)]])</f>
        <v>640563.33333333337</v>
      </c>
    </row>
    <row r="49" spans="1:95">
      <c r="A49" s="17">
        <v>1048</v>
      </c>
      <c r="B49" s="2" t="s">
        <v>101</v>
      </c>
      <c r="C49" s="2" t="s">
        <v>23</v>
      </c>
      <c r="D49" s="2" t="s">
        <v>20</v>
      </c>
      <c r="E49" s="2" t="s">
        <v>40</v>
      </c>
      <c r="F49" s="2">
        <v>500</v>
      </c>
      <c r="G49" s="2">
        <f>Table1[[#This Row],[Sales]]*0.7</f>
        <v>350</v>
      </c>
      <c r="H49" s="2">
        <v>2</v>
      </c>
      <c r="I49" s="2">
        <v>0</v>
      </c>
      <c r="J49" s="2">
        <f>Table1[[#This Row],[Sales]]-Table1[[#This Row],[Cost]]</f>
        <v>150</v>
      </c>
      <c r="K49" s="3">
        <v>44983</v>
      </c>
      <c r="L49" s="3">
        <v>44986</v>
      </c>
      <c r="M49" s="4">
        <v>500</v>
      </c>
      <c r="N49" s="27">
        <v>0.16</v>
      </c>
      <c r="O49" s="4" t="s">
        <v>127</v>
      </c>
      <c r="P49" s="4" t="s">
        <v>114</v>
      </c>
      <c r="Q49" s="4" t="s">
        <v>120</v>
      </c>
      <c r="R49" s="4" t="s">
        <v>116</v>
      </c>
      <c r="S49" s="4" t="s">
        <v>264</v>
      </c>
      <c r="T49" s="18">
        <v>0</v>
      </c>
      <c r="U49" s="29" t="str">
        <f>IF(Table1[[#This Row],[Profit]]&gt;800,"High Profit","Low Profit")</f>
        <v>Low Profit</v>
      </c>
      <c r="V49" s="29" t="str">
        <f>IF(AND(Table1[[#This Row],[Quantity]]&gt;2,Table1[[#This Row],[Discount]]&gt;0.04),"Bulk Deal","Ok Deal")</f>
        <v>Ok Deal</v>
      </c>
      <c r="W49" s="29" t="str">
        <f>IF(OR(Table1[[#This Row],[Region]]="East",Table1[[#This Row],[Region]]="West"),"High Priority Region","Only Region")</f>
        <v>Only Region</v>
      </c>
      <c r="X49" s="29" t="str">
        <f>LEFT(Table1[[#This Row],[Product Name]],5)</f>
        <v>Keybo</v>
      </c>
      <c r="Y49" s="29">
        <f>MONTH(Table1[[#This Row],[Order Date]])</f>
        <v>2</v>
      </c>
      <c r="Z49" s="29" t="str">
        <f>RIGHT(Table1[[#This Row],[Customer Name]],LEN(Table1[[#This Row],[Customer Name]])-FIND(" ",Table1[[#This Row],[Customer Name]])) &amp; ",  " &amp; LEFT(Table1[[#This Row],[Customer Name]],FIND(" ",Table1[[#This Row],[Customer Name]])-1)</f>
        <v>Hall,  Victor</v>
      </c>
      <c r="AA49" s="30">
        <f>Table1[[#This Row],[Order Date]]-10</f>
        <v>44973</v>
      </c>
      <c r="AB49" s="29" t="str">
        <f>TEXT(Table1[[#This Row],[Discount]],"0%")</f>
        <v>0%</v>
      </c>
      <c r="AC49" s="30">
        <f t="shared" si="0"/>
        <v>44993</v>
      </c>
      <c r="AD49" s="29">
        <f>YEAR(Table1[[#This Row],[Order Date]])</f>
        <v>2023</v>
      </c>
      <c r="AE49" s="30">
        <v>33216</v>
      </c>
      <c r="AF49" s="29">
        <f ca="1">DATEDIF(Table1[[#This Row],[Birthdate]],TODAY(),"Y")</f>
        <v>35</v>
      </c>
      <c r="AG49" s="29">
        <f>WEEKNUM(Table1[[#This Row],[Order Date]])</f>
        <v>9</v>
      </c>
      <c r="AH49" s="29">
        <f>NETWORKDAYS(Table1[[#This Row],[Order Date]],Table1[[#This Row],[Delivery Date]])</f>
        <v>3</v>
      </c>
      <c r="AI49" s="29">
        <f>WEEKDAY(Table1[[#This Row],[Order Date]])</f>
        <v>1</v>
      </c>
      <c r="AJ49" s="31" t="str">
        <f ca="1">IF(Table1[[#This Row],[Order Date]]&lt;TODAY(),"Old Order","New Order")</f>
        <v>Old Order</v>
      </c>
      <c r="AK49" s="29">
        <f ca="1">RANK(Table1[[#This Row],[Sales]],Table1[[#All],[Order ID]:[OrderDate]])</f>
        <v>479</v>
      </c>
      <c r="AL49" s="7">
        <f ca="1">SUM(OFFSET(K49,10,0,COUNTA(Table1[[#All],[Sales]])-1))</f>
        <v>0</v>
      </c>
      <c r="AM49" s="30">
        <f t="shared" si="1"/>
        <v>44984</v>
      </c>
      <c r="AN49" s="29" t="str" cm="1">
        <f t="array" ref="AN49">_xlfn.IFS(Table1[[#This Row],[Profit]]&gt;3000,"A",Table1[[#This Row],[Profit]]&gt;1000,"B",Table1[[#This Row],[Profit]]&gt;500,"C",TRUE,"D")</f>
        <v>D</v>
      </c>
      <c r="AO49" s="29">
        <f>SUM($F$2:F49)</f>
        <v>310780</v>
      </c>
      <c r="AP49" s="29">
        <v>1734379</v>
      </c>
      <c r="AQ49" s="29">
        <v>12</v>
      </c>
      <c r="AR49" s="29">
        <v>9</v>
      </c>
      <c r="AS49" s="37">
        <f>PMT(Table1[[#This Row],[Loan Amount]]/12,Table1[[#This Row],[Interest Rate]],-Table1[[#This Row],[Tenure (Months)]])</f>
        <v>1300784.25</v>
      </c>
      <c r="AU49" s="43" t="s">
        <v>488</v>
      </c>
      <c r="AV49">
        <v>94470</v>
      </c>
      <c r="AY49" s="43" t="s">
        <v>488</v>
      </c>
      <c r="AZ49">
        <v>314900</v>
      </c>
      <c r="CN49" s="39">
        <v>2135453</v>
      </c>
      <c r="CO49" s="39">
        <v>10</v>
      </c>
      <c r="CP49" s="39">
        <v>10</v>
      </c>
      <c r="CQ49" s="40">
        <f>PMT(Table1[[#This Row],[Loan Amount]]/12,Table1[[#This Row],[Interest Rate]],-Table1[[#This Row],[Tenure (Months)]])</f>
        <v>1300784.25</v>
      </c>
    </row>
    <row r="50" spans="1:95">
      <c r="A50" s="17">
        <v>1049</v>
      </c>
      <c r="B50" s="2" t="s">
        <v>102</v>
      </c>
      <c r="C50" s="2" t="s">
        <v>11</v>
      </c>
      <c r="D50" s="2" t="s">
        <v>12</v>
      </c>
      <c r="E50" s="2" t="s">
        <v>42</v>
      </c>
      <c r="F50" s="2">
        <v>4000</v>
      </c>
      <c r="G50" s="2">
        <f>Table1[[#This Row],[Sales]]*0.7</f>
        <v>2800</v>
      </c>
      <c r="H50" s="2">
        <v>1</v>
      </c>
      <c r="I50" s="2">
        <v>0.05</v>
      </c>
      <c r="J50" s="2">
        <f>Table1[[#This Row],[Sales]]-Table1[[#This Row],[Cost]]</f>
        <v>1200</v>
      </c>
      <c r="K50" s="3">
        <v>44984</v>
      </c>
      <c r="L50" s="3">
        <v>44986</v>
      </c>
      <c r="M50" s="4">
        <v>3800</v>
      </c>
      <c r="N50" s="27">
        <v>0.15</v>
      </c>
      <c r="O50" s="4" t="s">
        <v>127</v>
      </c>
      <c r="P50" s="4" t="s">
        <v>124</v>
      </c>
      <c r="Q50" s="4" t="s">
        <v>115</v>
      </c>
      <c r="R50" s="4" t="s">
        <v>123</v>
      </c>
      <c r="S50" s="4" t="s">
        <v>264</v>
      </c>
      <c r="T50" s="18">
        <v>200</v>
      </c>
      <c r="U50" s="29" t="str">
        <f>IF(Table1[[#This Row],[Profit]]&gt;800,"High Profit","Low Profit")</f>
        <v>High Profit</v>
      </c>
      <c r="V50" s="29" t="str">
        <f>IF(AND(Table1[[#This Row],[Quantity]]&gt;2,Table1[[#This Row],[Discount]]&gt;0.04),"Bulk Deal","Ok Deal")</f>
        <v>Ok Deal</v>
      </c>
      <c r="W50" s="29" t="str">
        <f>IF(OR(Table1[[#This Row],[Region]]="East",Table1[[#This Row],[Region]]="West"),"High Priority Region","Only Region")</f>
        <v>High Priority Region</v>
      </c>
      <c r="X50" s="29" t="str">
        <f>LEFT(Table1[[#This Row],[Product Name]],5)</f>
        <v>Bookc</v>
      </c>
      <c r="Y50" s="29">
        <f>MONTH(Table1[[#This Row],[Order Date]])</f>
        <v>2</v>
      </c>
      <c r="Z50" s="29" t="str">
        <f>RIGHT(Table1[[#This Row],[Customer Name]],LEN(Table1[[#This Row],[Customer Name]])-FIND(" ",Table1[[#This Row],[Customer Name]])) &amp; ",  " &amp; LEFT(Table1[[#This Row],[Customer Name]],FIND(" ",Table1[[#This Row],[Customer Name]])-1)</f>
        <v>King,  Wendy</v>
      </c>
      <c r="AA50" s="30">
        <f>Table1[[#This Row],[Order Date]]-10</f>
        <v>44974</v>
      </c>
      <c r="AB50" s="29" t="str">
        <f>TEXT(Table1[[#This Row],[Discount]],"0%")</f>
        <v>5%</v>
      </c>
      <c r="AC50" s="30">
        <f t="shared" si="0"/>
        <v>44994</v>
      </c>
      <c r="AD50" s="29">
        <f>YEAR(Table1[[#This Row],[Order Date]])</f>
        <v>2023</v>
      </c>
      <c r="AE50" s="30">
        <v>31527</v>
      </c>
      <c r="AF50" s="29">
        <f ca="1">DATEDIF(Table1[[#This Row],[Birthdate]],TODAY(),"Y")</f>
        <v>39</v>
      </c>
      <c r="AG50" s="29">
        <f>WEEKNUM(Table1[[#This Row],[Order Date]])</f>
        <v>9</v>
      </c>
      <c r="AH50" s="29">
        <f>NETWORKDAYS(Table1[[#This Row],[Order Date]],Table1[[#This Row],[Delivery Date]])</f>
        <v>3</v>
      </c>
      <c r="AI50" s="29">
        <f>WEEKDAY(Table1[[#This Row],[Order Date]])</f>
        <v>2</v>
      </c>
      <c r="AJ50" s="31" t="str">
        <f ca="1">IF(Table1[[#This Row],[Order Date]]&lt;TODAY(),"Old Order","New Order")</f>
        <v>Old Order</v>
      </c>
      <c r="AK50" s="29">
        <f ca="1">RANK(Table1[[#This Row],[Sales]],Table1[[#All],[Order ID]:[OrderDate]])</f>
        <v>301</v>
      </c>
      <c r="AL50" s="7">
        <f ca="1">SUM(OFFSET(K50,10,0,COUNTA(Table1[[#All],[Sales]])-1))</f>
        <v>0</v>
      </c>
      <c r="AM50" s="30">
        <f t="shared" si="1"/>
        <v>44984.5</v>
      </c>
      <c r="AN50" s="29" t="str" cm="1">
        <f t="array" ref="AN50">_xlfn.IFS(Table1[[#This Row],[Profit]]&gt;3000,"A",Table1[[#This Row],[Profit]]&gt;1000,"B",Table1[[#This Row],[Profit]]&gt;500,"C",TRUE,"D")</f>
        <v>B</v>
      </c>
      <c r="AO50" s="29">
        <f>SUM($F$2:F50)</f>
        <v>314780</v>
      </c>
      <c r="AP50" s="29">
        <v>1533636</v>
      </c>
      <c r="AQ50" s="29">
        <v>11</v>
      </c>
      <c r="AR50" s="29">
        <v>9</v>
      </c>
      <c r="AS50" s="37">
        <f>PMT(Table1[[#This Row],[Loan Amount]]/12,Table1[[#This Row],[Interest Rate]],-Table1[[#This Row],[Tenure (Months)]])</f>
        <v>1150227</v>
      </c>
      <c r="CN50" s="41">
        <v>1839758</v>
      </c>
      <c r="CO50" s="41">
        <v>8</v>
      </c>
      <c r="CP50" s="41">
        <v>11</v>
      </c>
      <c r="CQ50" s="40">
        <f>PMT(Table1[[#This Row],[Loan Amount]]/12,Table1[[#This Row],[Interest Rate]],-Table1[[#This Row],[Tenure (Months)]])</f>
        <v>1150227</v>
      </c>
    </row>
    <row r="51" spans="1:95">
      <c r="A51" s="21">
        <v>1050</v>
      </c>
      <c r="B51" s="22" t="s">
        <v>103</v>
      </c>
      <c r="C51" s="22" t="s">
        <v>15</v>
      </c>
      <c r="D51" s="22" t="s">
        <v>16</v>
      </c>
      <c r="E51" s="22" t="s">
        <v>44</v>
      </c>
      <c r="F51" s="22">
        <v>120</v>
      </c>
      <c r="G51" s="2">
        <f>Table1[[#This Row],[Sales]]*0.7</f>
        <v>84</v>
      </c>
      <c r="H51" s="22">
        <v>3</v>
      </c>
      <c r="I51" s="22">
        <v>0</v>
      </c>
      <c r="J51" s="2">
        <f>Table1[[#This Row],[Sales]]-Table1[[#This Row],[Cost]]</f>
        <v>36</v>
      </c>
      <c r="K51" s="23">
        <v>44985</v>
      </c>
      <c r="L51" s="23">
        <v>44989</v>
      </c>
      <c r="M51" s="24">
        <v>120</v>
      </c>
      <c r="N51" s="28">
        <v>0.20833333333333334</v>
      </c>
      <c r="O51" s="24" t="s">
        <v>127</v>
      </c>
      <c r="P51" s="24" t="s">
        <v>117</v>
      </c>
      <c r="Q51" s="24" t="s">
        <v>118</v>
      </c>
      <c r="R51" s="24" t="s">
        <v>116</v>
      </c>
      <c r="S51" s="24" t="s">
        <v>264</v>
      </c>
      <c r="T51" s="25">
        <v>0</v>
      </c>
      <c r="U51" s="29" t="str">
        <f>IF(Table1[[#This Row],[Profit]]&gt;800,"High Profit","Low Profit")</f>
        <v>Low Profit</v>
      </c>
      <c r="V51" s="29" t="str">
        <f>IF(AND(Table1[[#This Row],[Quantity]]&gt;2,Table1[[#This Row],[Discount]]&gt;0.04),"Bulk Deal","Ok Deal")</f>
        <v>Ok Deal</v>
      </c>
      <c r="W51" s="29" t="str">
        <f>IF(OR(Table1[[#This Row],[Region]]="East",Table1[[#This Row],[Region]]="West"),"High Priority Region","Only Region")</f>
        <v>High Priority Region</v>
      </c>
      <c r="X51" s="29" t="str">
        <f>LEFT(Table1[[#This Row],[Product Name]],5)</f>
        <v>Marke</v>
      </c>
      <c r="Y51" s="29">
        <f>MONTH(Table1[[#This Row],[Order Date]])</f>
        <v>2</v>
      </c>
      <c r="Z51" s="29" t="str">
        <f>RIGHT(Table1[[#This Row],[Customer Name]],LEN(Table1[[#This Row],[Customer Name]])-FIND(" ",Table1[[#This Row],[Customer Name]])) &amp; ",  " &amp; LEFT(Table1[[#This Row],[Customer Name]],FIND(" ",Table1[[#This Row],[Customer Name]])-1)</f>
        <v>Young,  Xavier</v>
      </c>
      <c r="AA51" s="30">
        <f>Table1[[#This Row],[Order Date]]-10</f>
        <v>44975</v>
      </c>
      <c r="AB51" s="29" t="str">
        <f>TEXT(Table1[[#This Row],[Discount]],"0%")</f>
        <v>0%</v>
      </c>
      <c r="AC51" s="30">
        <f t="shared" si="0"/>
        <v>44995</v>
      </c>
      <c r="AD51" s="29">
        <f>YEAR(Table1[[#This Row],[Order Date]])</f>
        <v>2023</v>
      </c>
      <c r="AE51" s="30">
        <v>30168</v>
      </c>
      <c r="AF51" s="29">
        <f ca="1">DATEDIF(Table1[[#This Row],[Birthdate]],TODAY(),"Y")</f>
        <v>43</v>
      </c>
      <c r="AG51" s="29">
        <f>WEEKNUM(Table1[[#This Row],[Order Date]])</f>
        <v>9</v>
      </c>
      <c r="AH51" s="29">
        <f>NETWORKDAYS(Table1[[#This Row],[Order Date]],Table1[[#This Row],[Delivery Date]])</f>
        <v>4</v>
      </c>
      <c r="AI51" s="29">
        <f>WEEKDAY(Table1[[#This Row],[Order Date]])</f>
        <v>3</v>
      </c>
      <c r="AJ51" s="31" t="str">
        <f ca="1">IF(Table1[[#This Row],[Order Date]]&lt;TODAY(),"Old Order","New Order")</f>
        <v>Old Order</v>
      </c>
      <c r="AK51" s="29">
        <f ca="1">RANK(Table1[[#This Row],[Sales]],Table1[[#All],[Order ID]:[OrderDate]])</f>
        <v>528</v>
      </c>
      <c r="AL51" s="7">
        <f ca="1">SUM(OFFSET(K51,10,0,COUNTA(Table1[[#All],[Sales]])-1))</f>
        <v>0</v>
      </c>
      <c r="AM51" s="30">
        <f t="shared" si="1"/>
        <v>44985</v>
      </c>
      <c r="AN51" s="29" t="str" cm="1">
        <f t="array" ref="AN51">_xlfn.IFS(Table1[[#This Row],[Profit]]&gt;3000,"A",Table1[[#This Row],[Profit]]&gt;1000,"B",Table1[[#This Row],[Profit]]&gt;500,"C",TRUE,"D")</f>
        <v>D</v>
      </c>
      <c r="AO51" s="29">
        <f>SUM($F$2:F51)</f>
        <v>314900</v>
      </c>
      <c r="AP51" s="29">
        <v>2129410</v>
      </c>
      <c r="AQ51" s="29">
        <v>11</v>
      </c>
      <c r="AR51" s="29">
        <v>9</v>
      </c>
      <c r="AS51" s="37">
        <f>PMT(Table1[[#This Row],[Loan Amount]]/12,Table1[[#This Row],[Interest Rate]],-Table1[[#This Row],[Tenure (Months)]])</f>
        <v>1597057.5</v>
      </c>
      <c r="AU51" s="42" t="s">
        <v>487</v>
      </c>
      <c r="AV51" t="s">
        <v>489</v>
      </c>
      <c r="AW51" t="s">
        <v>490</v>
      </c>
      <c r="AY51" s="42" t="s">
        <v>487</v>
      </c>
      <c r="AZ51" t="s">
        <v>490</v>
      </c>
      <c r="CN51" s="39">
        <v>2136796</v>
      </c>
      <c r="CO51" s="39">
        <v>10</v>
      </c>
      <c r="CP51" s="39">
        <v>8</v>
      </c>
      <c r="CQ51" s="40">
        <f>PMT(Table1[[#This Row],[Loan Amount]]/12,Table1[[#This Row],[Interest Rate]],-Table1[[#This Row],[Tenure (Months)]])</f>
        <v>1597057.5</v>
      </c>
    </row>
    <row r="52" spans="1:95">
      <c r="AU52" s="43" t="s">
        <v>72</v>
      </c>
      <c r="AV52">
        <v>14000</v>
      </c>
      <c r="AW52">
        <v>4200</v>
      </c>
      <c r="AY52" s="43" t="s">
        <v>113</v>
      </c>
      <c r="AZ52">
        <v>46050</v>
      </c>
    </row>
    <row r="53" spans="1:95">
      <c r="A53" t="s">
        <v>492</v>
      </c>
      <c r="C53" t="s">
        <v>546</v>
      </c>
      <c r="G53" t="s">
        <v>547</v>
      </c>
      <c r="AU53" s="43" t="s">
        <v>21</v>
      </c>
      <c r="AV53">
        <v>150000</v>
      </c>
      <c r="AW53">
        <v>45000</v>
      </c>
      <c r="AY53" s="43" t="s">
        <v>127</v>
      </c>
      <c r="AZ53">
        <v>48420</v>
      </c>
    </row>
    <row r="54" spans="1:95">
      <c r="A54" s="44" t="s">
        <v>493</v>
      </c>
      <c r="C54" s="42" t="s">
        <v>487</v>
      </c>
      <c r="D54" t="s">
        <v>489</v>
      </c>
      <c r="E54" t="s">
        <v>490</v>
      </c>
      <c r="G54" s="42" t="s">
        <v>487</v>
      </c>
      <c r="H54" t="s">
        <v>489</v>
      </c>
      <c r="AU54" s="43" t="s">
        <v>34</v>
      </c>
      <c r="AV54">
        <v>24000</v>
      </c>
      <c r="AW54">
        <v>7200</v>
      </c>
      <c r="AY54" s="43" t="s">
        <v>488</v>
      </c>
      <c r="AZ54">
        <v>94470</v>
      </c>
    </row>
    <row r="55" spans="1:95">
      <c r="C55" s="43" t="s">
        <v>496</v>
      </c>
      <c r="D55">
        <v>1200</v>
      </c>
      <c r="E55">
        <v>360</v>
      </c>
      <c r="G55" s="43" t="s">
        <v>12</v>
      </c>
      <c r="H55">
        <v>105700</v>
      </c>
      <c r="AU55" s="43" t="s">
        <v>36</v>
      </c>
      <c r="AV55">
        <v>30000</v>
      </c>
      <c r="AW55">
        <v>9000</v>
      </c>
    </row>
    <row r="56" spans="1:95">
      <c r="A56" t="s">
        <v>110</v>
      </c>
      <c r="B56">
        <f>SUM(Table1[Sales])</f>
        <v>314900</v>
      </c>
      <c r="C56" s="43" t="s">
        <v>497</v>
      </c>
      <c r="D56">
        <v>150</v>
      </c>
      <c r="E56">
        <v>45</v>
      </c>
      <c r="G56" s="43" t="s">
        <v>16</v>
      </c>
      <c r="H56">
        <v>2600</v>
      </c>
      <c r="AU56" s="43" t="s">
        <v>60</v>
      </c>
      <c r="AV56">
        <v>12000</v>
      </c>
      <c r="AW56">
        <v>3600</v>
      </c>
    </row>
    <row r="57" spans="1:95">
      <c r="A57" t="s">
        <v>494</v>
      </c>
      <c r="B57">
        <f>SUM(Table1[Profit])</f>
        <v>94470</v>
      </c>
      <c r="C57" s="43" t="s">
        <v>498</v>
      </c>
      <c r="D57">
        <v>75000</v>
      </c>
      <c r="E57">
        <v>22500</v>
      </c>
      <c r="G57" s="43" t="s">
        <v>20</v>
      </c>
      <c r="H57">
        <v>206600</v>
      </c>
      <c r="AU57" s="43" t="s">
        <v>488</v>
      </c>
      <c r="AV57">
        <v>230000</v>
      </c>
      <c r="AW57">
        <v>69000</v>
      </c>
    </row>
    <row r="58" spans="1:95">
      <c r="A58" t="s">
        <v>362</v>
      </c>
      <c r="B58">
        <f>COUNTA(Table1[Order ID])</f>
        <v>50</v>
      </c>
      <c r="C58" s="43" t="s">
        <v>499</v>
      </c>
      <c r="D58">
        <v>5000</v>
      </c>
      <c r="E58">
        <v>1500</v>
      </c>
      <c r="G58" s="43" t="s">
        <v>488</v>
      </c>
      <c r="H58">
        <v>314900</v>
      </c>
    </row>
    <row r="59" spans="1:95">
      <c r="A59" t="s">
        <v>495</v>
      </c>
      <c r="B59" s="26">
        <f>ROUND(AVERAGE(Table1[Profit Margin (%)]),2)</f>
        <v>0.16</v>
      </c>
      <c r="C59" s="43" t="s">
        <v>500</v>
      </c>
      <c r="D59">
        <v>300</v>
      </c>
      <c r="E59">
        <v>90</v>
      </c>
      <c r="G59" s="43" t="s">
        <v>548</v>
      </c>
      <c r="AU59" s="42" t="s">
        <v>487</v>
      </c>
      <c r="AV59" t="s">
        <v>489</v>
      </c>
    </row>
    <row r="60" spans="1:95">
      <c r="C60" s="43" t="s">
        <v>501</v>
      </c>
      <c r="D60">
        <v>800</v>
      </c>
      <c r="E60">
        <v>240</v>
      </c>
      <c r="G60" s="42" t="s">
        <v>487</v>
      </c>
      <c r="H60" t="s">
        <v>489</v>
      </c>
      <c r="AU60" s="43" t="s">
        <v>113</v>
      </c>
      <c r="AV60">
        <v>153500</v>
      </c>
    </row>
    <row r="61" spans="1:95">
      <c r="C61" s="43" t="s">
        <v>502</v>
      </c>
      <c r="D61">
        <v>2500</v>
      </c>
      <c r="E61">
        <v>750</v>
      </c>
      <c r="G61" s="43" t="s">
        <v>19</v>
      </c>
      <c r="H61" s="46">
        <v>178600</v>
      </c>
      <c r="AU61" s="43" t="s">
        <v>127</v>
      </c>
      <c r="AV61">
        <v>161400</v>
      </c>
    </row>
    <row r="62" spans="1:95">
      <c r="C62" s="43" t="s">
        <v>503</v>
      </c>
      <c r="D62">
        <v>200</v>
      </c>
      <c r="E62">
        <v>60</v>
      </c>
      <c r="G62" s="43" t="s">
        <v>15</v>
      </c>
      <c r="H62" s="46">
        <v>57940</v>
      </c>
      <c r="AU62" s="43" t="s">
        <v>488</v>
      </c>
      <c r="AV62">
        <v>314900</v>
      </c>
    </row>
    <row r="63" spans="1:95">
      <c r="C63" s="43" t="s">
        <v>504</v>
      </c>
      <c r="D63">
        <v>12000</v>
      </c>
      <c r="E63">
        <v>3600</v>
      </c>
      <c r="G63" s="43" t="s">
        <v>11</v>
      </c>
      <c r="H63" s="46">
        <v>41300</v>
      </c>
    </row>
    <row r="64" spans="1:95">
      <c r="C64" s="43" t="s">
        <v>505</v>
      </c>
      <c r="D64">
        <v>15000</v>
      </c>
      <c r="E64">
        <v>4500</v>
      </c>
      <c r="G64" s="43" t="s">
        <v>23</v>
      </c>
      <c r="H64" s="46">
        <v>37060</v>
      </c>
    </row>
    <row r="65" spans="3:8">
      <c r="C65" s="43" t="s">
        <v>506</v>
      </c>
      <c r="D65">
        <v>100</v>
      </c>
      <c r="E65">
        <v>30</v>
      </c>
      <c r="G65" s="43" t="s">
        <v>488</v>
      </c>
      <c r="H65" s="46">
        <v>314900</v>
      </c>
    </row>
    <row r="66" spans="3:8">
      <c r="C66" s="43" t="s">
        <v>507</v>
      </c>
      <c r="D66">
        <v>500</v>
      </c>
      <c r="E66">
        <v>150</v>
      </c>
    </row>
    <row r="67" spans="3:8">
      <c r="C67" s="43" t="s">
        <v>508</v>
      </c>
      <c r="D67">
        <v>4000</v>
      </c>
      <c r="E67">
        <v>1200</v>
      </c>
      <c r="G67" s="43" t="s">
        <v>549</v>
      </c>
    </row>
    <row r="68" spans="3:8">
      <c r="C68" s="43" t="s">
        <v>509</v>
      </c>
      <c r="D68">
        <v>120</v>
      </c>
      <c r="E68">
        <v>36</v>
      </c>
      <c r="G68" s="42" t="s">
        <v>487</v>
      </c>
      <c r="H68" t="s">
        <v>489</v>
      </c>
    </row>
    <row r="69" spans="3:8">
      <c r="C69" s="43" t="s">
        <v>510</v>
      </c>
      <c r="D69">
        <v>9000</v>
      </c>
      <c r="E69">
        <v>2700</v>
      </c>
      <c r="G69" s="43" t="s">
        <v>30</v>
      </c>
      <c r="H69" s="46">
        <v>7500</v>
      </c>
    </row>
    <row r="70" spans="3:8">
      <c r="C70" s="43" t="s">
        <v>511</v>
      </c>
      <c r="D70">
        <v>6000</v>
      </c>
      <c r="E70">
        <v>1800</v>
      </c>
      <c r="G70" s="43" t="s">
        <v>42</v>
      </c>
      <c r="H70" s="46">
        <v>8000</v>
      </c>
    </row>
    <row r="71" spans="3:8">
      <c r="C71" s="43" t="s">
        <v>512</v>
      </c>
      <c r="D71">
        <v>150</v>
      </c>
      <c r="E71">
        <v>45</v>
      </c>
      <c r="G71" s="43" t="s">
        <v>87</v>
      </c>
      <c r="H71" s="46">
        <v>8000</v>
      </c>
    </row>
    <row r="72" spans="3:8">
      <c r="C72" s="43" t="s">
        <v>513</v>
      </c>
      <c r="D72">
        <v>800</v>
      </c>
      <c r="E72">
        <v>240</v>
      </c>
      <c r="G72" s="43" t="s">
        <v>46</v>
      </c>
      <c r="H72" s="46">
        <v>9000</v>
      </c>
    </row>
    <row r="73" spans="3:8">
      <c r="C73" s="43" t="s">
        <v>514</v>
      </c>
      <c r="D73">
        <v>7000</v>
      </c>
      <c r="E73">
        <v>2100</v>
      </c>
      <c r="G73" s="43" t="s">
        <v>83</v>
      </c>
      <c r="H73" s="46">
        <v>10000</v>
      </c>
    </row>
    <row r="74" spans="3:8">
      <c r="C74" s="43" t="s">
        <v>515</v>
      </c>
      <c r="D74">
        <v>180</v>
      </c>
      <c r="E74">
        <v>54.000000000000014</v>
      </c>
      <c r="G74" s="43" t="s">
        <v>60</v>
      </c>
      <c r="H74" s="46">
        <v>12000</v>
      </c>
    </row>
    <row r="75" spans="3:8">
      <c r="C75" s="43" t="s">
        <v>516</v>
      </c>
      <c r="D75">
        <v>1500</v>
      </c>
      <c r="E75">
        <v>450</v>
      </c>
      <c r="G75" s="43" t="s">
        <v>72</v>
      </c>
      <c r="H75" s="46">
        <v>14000</v>
      </c>
    </row>
    <row r="76" spans="3:8">
      <c r="C76" s="43" t="s">
        <v>517</v>
      </c>
      <c r="D76">
        <v>12000</v>
      </c>
      <c r="E76">
        <v>3600</v>
      </c>
      <c r="G76" s="43" t="s">
        <v>34</v>
      </c>
      <c r="H76" s="46">
        <v>24000</v>
      </c>
    </row>
    <row r="77" spans="3:8">
      <c r="C77" s="43" t="s">
        <v>518</v>
      </c>
      <c r="D77">
        <v>250</v>
      </c>
      <c r="E77">
        <v>75</v>
      </c>
      <c r="G77" s="43" t="s">
        <v>36</v>
      </c>
      <c r="H77" s="46">
        <v>30000</v>
      </c>
    </row>
    <row r="78" spans="3:8">
      <c r="C78" s="43" t="s">
        <v>519</v>
      </c>
      <c r="D78">
        <v>1200</v>
      </c>
      <c r="E78">
        <v>360</v>
      </c>
      <c r="G78" s="43" t="s">
        <v>21</v>
      </c>
      <c r="H78" s="46">
        <v>150000</v>
      </c>
    </row>
    <row r="79" spans="3:8">
      <c r="C79" s="43" t="s">
        <v>520</v>
      </c>
      <c r="D79">
        <v>800</v>
      </c>
      <c r="E79">
        <v>240</v>
      </c>
      <c r="G79" s="43" t="s">
        <v>488</v>
      </c>
      <c r="H79" s="46">
        <v>272500</v>
      </c>
    </row>
    <row r="80" spans="3:8">
      <c r="C80" s="43" t="s">
        <v>521</v>
      </c>
      <c r="D80">
        <v>100</v>
      </c>
      <c r="E80">
        <v>30</v>
      </c>
      <c r="G80" s="43" t="s">
        <v>551</v>
      </c>
    </row>
    <row r="81" spans="3:8">
      <c r="C81" s="43" t="s">
        <v>522</v>
      </c>
      <c r="D81">
        <v>4500</v>
      </c>
      <c r="E81">
        <v>1350</v>
      </c>
      <c r="G81" s="42" t="s">
        <v>487</v>
      </c>
      <c r="H81" t="s">
        <v>550</v>
      </c>
    </row>
    <row r="82" spans="3:8">
      <c r="C82" s="43" t="s">
        <v>523</v>
      </c>
      <c r="D82">
        <v>14000</v>
      </c>
      <c r="E82">
        <v>4200</v>
      </c>
      <c r="G82" s="43" t="s">
        <v>265</v>
      </c>
      <c r="H82">
        <v>25</v>
      </c>
    </row>
    <row r="83" spans="3:8">
      <c r="C83" s="43" t="s">
        <v>524</v>
      </c>
      <c r="D83">
        <v>50</v>
      </c>
      <c r="E83">
        <v>15</v>
      </c>
      <c r="G83" s="43" t="s">
        <v>264</v>
      </c>
      <c r="H83">
        <v>25</v>
      </c>
    </row>
    <row r="84" spans="3:8">
      <c r="C84" s="43" t="s">
        <v>525</v>
      </c>
      <c r="D84">
        <v>3000</v>
      </c>
      <c r="E84">
        <v>900</v>
      </c>
      <c r="G84" s="43" t="s">
        <v>488</v>
      </c>
      <c r="H84">
        <v>50</v>
      </c>
    </row>
    <row r="85" spans="3:8">
      <c r="C85" s="43" t="s">
        <v>526</v>
      </c>
      <c r="D85">
        <v>2500</v>
      </c>
      <c r="E85">
        <v>750</v>
      </c>
    </row>
    <row r="86" spans="3:8">
      <c r="C86" s="43" t="s">
        <v>527</v>
      </c>
      <c r="D86">
        <v>80</v>
      </c>
      <c r="E86">
        <v>24</v>
      </c>
    </row>
    <row r="87" spans="3:8">
      <c r="C87" s="43" t="s">
        <v>528</v>
      </c>
      <c r="D87">
        <v>2000</v>
      </c>
      <c r="E87">
        <v>600</v>
      </c>
    </row>
    <row r="88" spans="3:8">
      <c r="C88" s="43" t="s">
        <v>529</v>
      </c>
      <c r="D88">
        <v>10000</v>
      </c>
      <c r="E88">
        <v>3000</v>
      </c>
    </row>
    <row r="89" spans="3:8">
      <c r="C89" s="43" t="s">
        <v>530</v>
      </c>
      <c r="D89">
        <v>150</v>
      </c>
      <c r="E89">
        <v>45</v>
      </c>
    </row>
    <row r="90" spans="3:8">
      <c r="C90" s="43" t="s">
        <v>531</v>
      </c>
      <c r="D90">
        <v>8000</v>
      </c>
      <c r="E90">
        <v>2400</v>
      </c>
    </row>
    <row r="91" spans="3:8">
      <c r="C91" s="43" t="s">
        <v>532</v>
      </c>
      <c r="D91">
        <v>3000</v>
      </c>
      <c r="E91">
        <v>900</v>
      </c>
    </row>
    <row r="92" spans="3:8">
      <c r="C92" s="43" t="s">
        <v>533</v>
      </c>
      <c r="D92">
        <v>50</v>
      </c>
      <c r="E92">
        <v>15</v>
      </c>
    </row>
    <row r="93" spans="3:8">
      <c r="C93" s="43" t="s">
        <v>534</v>
      </c>
      <c r="D93">
        <v>75000</v>
      </c>
      <c r="E93">
        <v>22500</v>
      </c>
    </row>
    <row r="94" spans="3:8">
      <c r="C94" s="43" t="s">
        <v>535</v>
      </c>
      <c r="D94">
        <v>1200</v>
      </c>
      <c r="E94">
        <v>360</v>
      </c>
    </row>
    <row r="95" spans="3:8">
      <c r="C95" s="43" t="s">
        <v>536</v>
      </c>
      <c r="D95">
        <v>300</v>
      </c>
      <c r="E95">
        <v>90</v>
      </c>
    </row>
    <row r="96" spans="3:8">
      <c r="C96" s="43" t="s">
        <v>537</v>
      </c>
      <c r="D96">
        <v>800</v>
      </c>
      <c r="E96">
        <v>240</v>
      </c>
    </row>
    <row r="97" spans="3:5">
      <c r="C97" s="43" t="s">
        <v>538</v>
      </c>
      <c r="D97">
        <v>2500</v>
      </c>
      <c r="E97">
        <v>750</v>
      </c>
    </row>
    <row r="98" spans="3:5">
      <c r="C98" s="43" t="s">
        <v>539</v>
      </c>
      <c r="D98">
        <v>200</v>
      </c>
      <c r="E98">
        <v>60</v>
      </c>
    </row>
    <row r="99" spans="3:5">
      <c r="C99" s="43" t="s">
        <v>540</v>
      </c>
      <c r="D99">
        <v>12000</v>
      </c>
      <c r="E99">
        <v>3600</v>
      </c>
    </row>
    <row r="100" spans="3:5">
      <c r="C100" s="43" t="s">
        <v>541</v>
      </c>
      <c r="D100">
        <v>15000</v>
      </c>
      <c r="E100">
        <v>4500</v>
      </c>
    </row>
    <row r="101" spans="3:5">
      <c r="C101" s="43" t="s">
        <v>542</v>
      </c>
      <c r="D101">
        <v>100</v>
      </c>
      <c r="E101">
        <v>30</v>
      </c>
    </row>
    <row r="102" spans="3:5">
      <c r="C102" s="43" t="s">
        <v>543</v>
      </c>
      <c r="D102">
        <v>500</v>
      </c>
      <c r="E102">
        <v>150</v>
      </c>
    </row>
    <row r="103" spans="3:5">
      <c r="C103" s="43" t="s">
        <v>544</v>
      </c>
      <c r="D103">
        <v>4000</v>
      </c>
      <c r="E103">
        <v>1200</v>
      </c>
    </row>
    <row r="104" spans="3:5">
      <c r="C104" s="43" t="s">
        <v>545</v>
      </c>
      <c r="D104">
        <v>120</v>
      </c>
      <c r="E104">
        <v>36</v>
      </c>
    </row>
    <row r="105" spans="3:5">
      <c r="C105" s="43" t="s">
        <v>488</v>
      </c>
      <c r="D105">
        <v>314900</v>
      </c>
      <c r="E105">
        <v>94470</v>
      </c>
    </row>
  </sheetData>
  <phoneticPr fontId="6" type="noConversion"/>
  <pageMargins left="0.7" right="0.7" top="0.75" bottom="0.75" header="0.3" footer="0.3"/>
  <drawing r:id="rId13"/>
  <tableParts count="1">
    <tablePart r:id="rId14"/>
  </tableParts>
  <extLst>
    <ext xmlns:x14="http://schemas.microsoft.com/office/spreadsheetml/2009/9/main" uri="{A8765BA9-456A-4dab-B4F3-ACF838C121DE}">
      <x14:slicerList>
        <x14:slicer r:id="rId1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E194C-B926-4BA7-9BA6-B885AE5CC694}">
  <dimension ref="A1:X42"/>
  <sheetViews>
    <sheetView tabSelected="1" topLeftCell="A19" workbookViewId="0">
      <selection activeCell="C39" sqref="C39"/>
    </sheetView>
  </sheetViews>
  <sheetFormatPr defaultRowHeight="14.4"/>
  <cols>
    <col min="1" max="16384" width="8.88671875" style="47"/>
  </cols>
  <sheetData>
    <row r="1" spans="1:24">
      <c r="A1" s="45"/>
      <c r="B1" s="45"/>
      <c r="C1" s="45"/>
      <c r="D1" s="45"/>
      <c r="E1" s="45"/>
      <c r="F1" s="45"/>
      <c r="G1" s="45"/>
      <c r="H1" s="45"/>
      <c r="I1" s="45"/>
      <c r="J1" s="45"/>
      <c r="K1" s="45"/>
      <c r="L1" s="45"/>
      <c r="M1" s="45"/>
      <c r="N1" s="45"/>
      <c r="O1" s="45"/>
      <c r="P1" s="45"/>
      <c r="Q1" s="45"/>
      <c r="R1" s="45"/>
      <c r="S1" s="45"/>
      <c r="T1" s="45"/>
      <c r="U1" s="45"/>
      <c r="V1" s="45"/>
      <c r="W1" s="45" t="s">
        <v>552</v>
      </c>
      <c r="X1" s="45"/>
    </row>
    <row r="2" spans="1:24">
      <c r="A2" s="45"/>
      <c r="B2" s="45"/>
      <c r="C2" s="45"/>
      <c r="D2" s="45"/>
      <c r="E2" s="45"/>
      <c r="F2" s="45"/>
      <c r="G2" s="45"/>
      <c r="H2" s="45"/>
      <c r="I2" s="45"/>
      <c r="J2" s="45"/>
      <c r="K2" s="45"/>
      <c r="L2" s="45"/>
      <c r="M2" s="45"/>
      <c r="N2" s="45"/>
      <c r="O2" s="45"/>
      <c r="P2" s="45"/>
      <c r="Q2" s="45"/>
      <c r="R2" s="45"/>
      <c r="S2" s="45"/>
      <c r="T2" s="45"/>
      <c r="U2" s="45"/>
      <c r="V2" s="45"/>
      <c r="W2" s="45"/>
      <c r="X2" s="45"/>
    </row>
    <row r="3" spans="1:24">
      <c r="A3" s="45"/>
      <c r="B3" s="45"/>
      <c r="C3" s="45"/>
      <c r="D3" s="45"/>
      <c r="E3" s="45"/>
      <c r="F3" s="45"/>
      <c r="G3" s="45"/>
      <c r="H3" s="45"/>
      <c r="I3" s="45"/>
      <c r="J3" s="45"/>
      <c r="K3" s="45"/>
      <c r="L3" s="45"/>
      <c r="M3" s="45"/>
      <c r="N3" s="45"/>
      <c r="O3" s="45"/>
      <c r="P3" s="45"/>
      <c r="Q3" s="45"/>
      <c r="R3" s="45"/>
      <c r="S3" s="45"/>
      <c r="T3" s="45"/>
      <c r="U3" s="45"/>
      <c r="V3" s="45"/>
      <c r="W3" s="45"/>
      <c r="X3" s="45"/>
    </row>
    <row r="4" spans="1:24">
      <c r="A4" s="45"/>
      <c r="B4" s="45"/>
      <c r="C4" s="45"/>
      <c r="D4" s="45"/>
      <c r="E4" s="45"/>
      <c r="F4" s="45"/>
      <c r="G4" s="45"/>
      <c r="H4" s="45"/>
      <c r="I4" s="45"/>
      <c r="J4" s="45"/>
      <c r="K4" s="45"/>
      <c r="L4" s="45"/>
      <c r="M4" s="45"/>
      <c r="N4" s="45"/>
      <c r="O4" s="45"/>
      <c r="P4" s="45"/>
      <c r="Q4" s="45"/>
      <c r="R4" s="45"/>
      <c r="S4" s="45"/>
      <c r="T4" s="45"/>
      <c r="U4" s="45"/>
      <c r="V4" s="45"/>
      <c r="W4" s="45"/>
      <c r="X4" s="45"/>
    </row>
    <row r="5" spans="1:24">
      <c r="A5" s="45"/>
      <c r="B5" s="45"/>
      <c r="C5" s="45"/>
      <c r="D5" s="45"/>
      <c r="E5" s="45"/>
      <c r="F5" s="45"/>
      <c r="G5" s="45"/>
      <c r="H5" s="45"/>
      <c r="I5" s="45"/>
      <c r="J5" s="45"/>
      <c r="K5" s="45"/>
      <c r="L5" s="45"/>
      <c r="M5" s="45"/>
      <c r="N5" s="45"/>
      <c r="O5" s="45"/>
      <c r="P5" s="45"/>
      <c r="Q5" s="45"/>
      <c r="R5" s="45"/>
      <c r="S5" s="45"/>
      <c r="T5" s="45"/>
      <c r="U5" s="45"/>
      <c r="V5" s="45"/>
      <c r="W5" s="45"/>
      <c r="X5" s="45"/>
    </row>
    <row r="6" spans="1:24">
      <c r="A6" s="45"/>
      <c r="B6" s="45"/>
      <c r="C6" s="45"/>
      <c r="D6" s="45"/>
      <c r="E6" s="45"/>
      <c r="F6" s="45"/>
      <c r="G6" s="45"/>
      <c r="H6" s="45"/>
      <c r="I6" s="45"/>
      <c r="J6" s="45"/>
      <c r="K6" s="45"/>
      <c r="L6" s="45"/>
      <c r="M6" s="45"/>
      <c r="N6" s="45"/>
      <c r="O6" s="45"/>
      <c r="P6" s="45"/>
      <c r="Q6" s="45"/>
      <c r="R6" s="45"/>
      <c r="S6" s="45"/>
      <c r="T6" s="45"/>
      <c r="U6" s="45"/>
      <c r="V6" s="45"/>
      <c r="W6" s="45"/>
      <c r="X6" s="45"/>
    </row>
    <row r="7" spans="1:24">
      <c r="A7" s="45"/>
      <c r="B7" s="45"/>
      <c r="C7" s="45"/>
      <c r="D7" s="45"/>
      <c r="E7" s="45"/>
      <c r="F7" s="45"/>
      <c r="G7" s="45"/>
      <c r="H7" s="45"/>
      <c r="I7" s="45"/>
      <c r="J7" s="45"/>
      <c r="K7" s="45"/>
      <c r="L7" s="45"/>
      <c r="M7" s="45"/>
      <c r="N7" s="45"/>
      <c r="O7" s="45"/>
      <c r="P7" s="45"/>
      <c r="Q7" s="45"/>
      <c r="R7" s="45"/>
      <c r="S7" s="45"/>
      <c r="T7" s="45"/>
      <c r="U7" s="45"/>
      <c r="V7" s="45"/>
      <c r="W7" s="45"/>
      <c r="X7" s="45"/>
    </row>
    <row r="8" spans="1:24">
      <c r="A8" s="45"/>
      <c r="B8" s="45"/>
      <c r="C8" s="45"/>
      <c r="D8" s="45"/>
      <c r="E8" s="45"/>
      <c r="F8" s="45"/>
      <c r="G8" s="45"/>
      <c r="H8" s="45"/>
      <c r="I8" s="45"/>
      <c r="J8" s="45"/>
      <c r="K8" s="45"/>
      <c r="L8" s="45"/>
      <c r="M8" s="45"/>
      <c r="N8" s="45"/>
      <c r="O8" s="45"/>
      <c r="P8" s="45"/>
      <c r="Q8" s="45"/>
      <c r="R8" s="45"/>
      <c r="S8" s="45"/>
      <c r="T8" s="45"/>
      <c r="U8" s="45"/>
      <c r="V8" s="45"/>
      <c r="W8" s="45"/>
      <c r="X8" s="45"/>
    </row>
    <row r="9" spans="1:24">
      <c r="A9" s="45"/>
      <c r="B9" s="45"/>
      <c r="C9" s="45"/>
      <c r="D9" s="45"/>
      <c r="E9" s="45"/>
      <c r="F9" s="45"/>
      <c r="G9" s="45"/>
      <c r="H9" s="45"/>
      <c r="I9" s="45"/>
      <c r="J9" s="45"/>
      <c r="K9" s="45"/>
      <c r="L9" s="45"/>
      <c r="M9" s="45"/>
      <c r="N9" s="45"/>
      <c r="O9" s="45"/>
      <c r="P9" s="45"/>
      <c r="Q9" s="45"/>
      <c r="R9" s="45"/>
      <c r="S9" s="45"/>
      <c r="T9" s="45"/>
      <c r="U9" s="45"/>
      <c r="V9" s="45"/>
      <c r="W9" s="45"/>
      <c r="X9" s="45"/>
    </row>
    <row r="10" spans="1:24">
      <c r="A10" s="45"/>
      <c r="B10" s="45"/>
      <c r="C10" s="45"/>
      <c r="D10" s="45"/>
      <c r="E10" s="45"/>
      <c r="F10" s="45"/>
      <c r="G10" s="45"/>
      <c r="H10" s="45"/>
      <c r="I10" s="45"/>
      <c r="J10" s="45"/>
      <c r="K10" s="45"/>
      <c r="L10" s="45"/>
      <c r="M10" s="45"/>
      <c r="N10" s="45"/>
      <c r="O10" s="45"/>
      <c r="P10" s="45"/>
      <c r="Q10" s="45"/>
      <c r="R10" s="45"/>
      <c r="S10" s="45"/>
      <c r="T10" s="45"/>
      <c r="U10" s="45"/>
      <c r="V10" s="45"/>
      <c r="W10" s="45"/>
      <c r="X10" s="45"/>
    </row>
    <row r="11" spans="1:24">
      <c r="A11" s="45"/>
      <c r="B11" s="45"/>
      <c r="C11" s="45"/>
      <c r="D11" s="45"/>
      <c r="E11" s="45"/>
      <c r="F11" s="45"/>
      <c r="G11" s="45"/>
      <c r="H11" s="45"/>
      <c r="I11" s="45"/>
      <c r="J11" s="45"/>
      <c r="K11" s="45"/>
      <c r="L11" s="45"/>
      <c r="M11" s="45"/>
      <c r="N11" s="45"/>
      <c r="O11" s="45"/>
      <c r="P11" s="45"/>
      <c r="Q11" s="45"/>
      <c r="R11" s="45"/>
      <c r="S11" s="45"/>
      <c r="T11" s="45"/>
      <c r="U11" s="45"/>
      <c r="V11" s="45"/>
      <c r="W11" s="45"/>
      <c r="X11" s="45"/>
    </row>
    <row r="12" spans="1:24">
      <c r="A12" s="45"/>
      <c r="B12" s="45"/>
      <c r="C12" s="45"/>
      <c r="D12" s="45"/>
      <c r="E12" s="45"/>
      <c r="F12" s="45"/>
      <c r="G12" s="45"/>
      <c r="H12" s="45"/>
      <c r="I12" s="45"/>
      <c r="J12" s="45"/>
      <c r="K12" s="45"/>
      <c r="L12" s="45"/>
      <c r="M12" s="45"/>
      <c r="N12" s="45"/>
      <c r="O12" s="45"/>
      <c r="P12" s="45"/>
      <c r="Q12" s="45"/>
      <c r="R12" s="45"/>
      <c r="S12" s="45"/>
      <c r="T12" s="45"/>
      <c r="U12" s="45"/>
      <c r="V12" s="45"/>
      <c r="W12" s="45"/>
      <c r="X12" s="45"/>
    </row>
    <row r="13" spans="1:24">
      <c r="A13" s="45"/>
      <c r="B13" s="45"/>
      <c r="C13" s="45"/>
      <c r="D13" s="45"/>
      <c r="E13" s="45"/>
      <c r="F13" s="45"/>
      <c r="G13" s="45"/>
      <c r="H13" s="45"/>
      <c r="I13" s="45"/>
      <c r="J13" s="45"/>
      <c r="K13" s="45"/>
      <c r="L13" s="45"/>
      <c r="M13" s="45"/>
      <c r="N13" s="45"/>
      <c r="O13" s="45"/>
      <c r="P13" s="45"/>
      <c r="Q13" s="45"/>
      <c r="R13" s="45"/>
      <c r="S13" s="45"/>
      <c r="T13" s="45"/>
      <c r="U13" s="45"/>
      <c r="V13" s="45"/>
      <c r="W13" s="45"/>
      <c r="X13" s="45"/>
    </row>
    <row r="14" spans="1:24">
      <c r="A14" s="45"/>
      <c r="B14" s="45"/>
      <c r="C14" s="45"/>
      <c r="D14" s="45"/>
      <c r="E14" s="45"/>
      <c r="F14" s="45"/>
      <c r="G14" s="45"/>
      <c r="H14" s="45"/>
      <c r="I14" s="45"/>
      <c r="J14" s="45"/>
      <c r="K14" s="45"/>
      <c r="L14" s="45"/>
      <c r="M14" s="45"/>
      <c r="N14" s="45"/>
      <c r="O14" s="45"/>
      <c r="P14" s="45"/>
      <c r="Q14" s="45"/>
      <c r="R14" s="45"/>
      <c r="S14" s="45"/>
      <c r="T14" s="45"/>
      <c r="U14" s="45"/>
      <c r="V14" s="45"/>
      <c r="W14" s="45"/>
      <c r="X14" s="45"/>
    </row>
    <row r="15" spans="1:24">
      <c r="A15" s="45"/>
      <c r="B15" s="45"/>
      <c r="C15" s="45"/>
      <c r="D15" s="45"/>
      <c r="E15" s="45"/>
      <c r="F15" s="45"/>
      <c r="G15" s="45"/>
      <c r="H15" s="45"/>
      <c r="I15" s="45"/>
      <c r="J15" s="45"/>
      <c r="K15" s="45"/>
      <c r="L15" s="45"/>
      <c r="M15" s="45"/>
      <c r="N15" s="45"/>
      <c r="O15" s="45"/>
      <c r="P15" s="45"/>
      <c r="Q15" s="45"/>
      <c r="R15" s="45"/>
      <c r="S15" s="45"/>
      <c r="T15" s="45"/>
      <c r="U15" s="45"/>
      <c r="V15" s="45"/>
      <c r="W15" s="45"/>
      <c r="X15" s="45"/>
    </row>
    <row r="16" spans="1:24">
      <c r="A16" s="45"/>
      <c r="B16" s="45"/>
      <c r="C16" s="45"/>
      <c r="D16" s="45"/>
      <c r="E16" s="45"/>
      <c r="F16" s="45"/>
      <c r="G16" s="45"/>
      <c r="H16" s="45"/>
      <c r="I16" s="45"/>
      <c r="J16" s="45"/>
      <c r="K16" s="45"/>
      <c r="L16" s="45"/>
      <c r="M16" s="45"/>
      <c r="N16" s="45"/>
      <c r="O16" s="45"/>
      <c r="P16" s="45"/>
      <c r="Q16" s="45"/>
      <c r="R16" s="45"/>
      <c r="S16" s="45"/>
      <c r="T16" s="45"/>
      <c r="U16" s="45"/>
      <c r="V16" s="45"/>
      <c r="W16" s="45"/>
      <c r="X16" s="45"/>
    </row>
    <row r="17" spans="1:24">
      <c r="A17" s="45"/>
      <c r="B17" s="45"/>
      <c r="C17" s="45"/>
      <c r="D17" s="45"/>
      <c r="E17" s="45"/>
      <c r="F17" s="45"/>
      <c r="G17" s="45"/>
      <c r="H17" s="45"/>
      <c r="I17" s="45"/>
      <c r="J17" s="45"/>
      <c r="K17" s="45"/>
      <c r="L17" s="45"/>
      <c r="M17" s="45"/>
      <c r="N17" s="45"/>
      <c r="O17" s="45"/>
      <c r="P17" s="45"/>
      <c r="Q17" s="45"/>
      <c r="R17" s="45"/>
      <c r="S17" s="45"/>
      <c r="T17" s="45"/>
      <c r="U17" s="45"/>
      <c r="V17" s="45"/>
      <c r="W17" s="45"/>
      <c r="X17" s="45"/>
    </row>
    <row r="18" spans="1:24">
      <c r="A18" s="45"/>
      <c r="B18" s="45"/>
      <c r="C18" s="45"/>
      <c r="D18" s="45"/>
      <c r="E18" s="45"/>
      <c r="F18" s="45"/>
      <c r="G18" s="45"/>
      <c r="H18" s="45"/>
      <c r="I18" s="45"/>
      <c r="J18" s="45"/>
      <c r="K18" s="45"/>
      <c r="L18" s="45"/>
      <c r="M18" s="45"/>
      <c r="N18" s="45"/>
      <c r="O18" s="45"/>
      <c r="P18" s="45"/>
      <c r="Q18" s="45"/>
      <c r="R18" s="45"/>
      <c r="S18" s="45"/>
      <c r="T18" s="45"/>
      <c r="U18" s="45"/>
      <c r="V18" s="45"/>
      <c r="W18" s="45"/>
      <c r="X18" s="45"/>
    </row>
    <row r="19" spans="1:24">
      <c r="A19" s="45"/>
      <c r="B19" s="45"/>
      <c r="C19" s="45"/>
      <c r="D19" s="45"/>
      <c r="E19" s="45"/>
      <c r="F19" s="45"/>
      <c r="G19" s="45"/>
      <c r="H19" s="45"/>
      <c r="I19" s="45"/>
      <c r="J19" s="45"/>
      <c r="K19" s="45"/>
      <c r="L19" s="45"/>
      <c r="M19" s="45"/>
      <c r="N19" s="45"/>
      <c r="O19" s="45"/>
      <c r="P19" s="45"/>
      <c r="Q19" s="45"/>
      <c r="R19" s="45"/>
      <c r="S19" s="45"/>
      <c r="T19" s="45"/>
      <c r="U19" s="45"/>
      <c r="V19" s="45"/>
      <c r="W19" s="45"/>
      <c r="X19" s="45"/>
    </row>
    <row r="20" spans="1:24">
      <c r="A20" s="45"/>
      <c r="B20" s="45"/>
      <c r="C20" s="45"/>
      <c r="D20" s="45"/>
      <c r="E20" s="45"/>
      <c r="F20" s="45"/>
      <c r="G20" s="45"/>
      <c r="H20" s="45"/>
      <c r="I20" s="45"/>
      <c r="J20" s="45"/>
      <c r="K20" s="45"/>
      <c r="L20" s="45"/>
      <c r="M20" s="45"/>
      <c r="N20" s="45"/>
      <c r="O20" s="45"/>
      <c r="P20" s="45"/>
      <c r="Q20" s="45"/>
      <c r="R20" s="45"/>
      <c r="S20" s="45"/>
      <c r="T20" s="45"/>
      <c r="U20" s="45"/>
      <c r="V20" s="45"/>
      <c r="W20" s="45"/>
      <c r="X20" s="45"/>
    </row>
    <row r="21" spans="1:24">
      <c r="A21" s="45"/>
      <c r="B21" s="45"/>
      <c r="C21" s="45"/>
      <c r="D21" s="45"/>
      <c r="E21" s="45"/>
      <c r="F21" s="45"/>
      <c r="G21" s="45"/>
      <c r="H21" s="45"/>
      <c r="I21" s="45"/>
      <c r="J21" s="45"/>
      <c r="K21" s="45"/>
      <c r="L21" s="45"/>
      <c r="M21" s="45"/>
      <c r="N21" s="45"/>
      <c r="O21" s="45"/>
      <c r="P21" s="45"/>
      <c r="Q21" s="45"/>
      <c r="R21" s="45"/>
      <c r="S21" s="45"/>
      <c r="T21" s="45"/>
      <c r="U21" s="45"/>
      <c r="V21" s="45"/>
      <c r="W21" s="45"/>
      <c r="X21" s="45"/>
    </row>
    <row r="22" spans="1:24">
      <c r="A22" s="45"/>
      <c r="B22" s="45"/>
      <c r="C22" s="45"/>
      <c r="D22" s="45"/>
      <c r="E22" s="45"/>
      <c r="F22" s="45"/>
      <c r="G22" s="45"/>
      <c r="H22" s="45"/>
      <c r="I22" s="45"/>
      <c r="J22" s="45"/>
      <c r="K22" s="45"/>
      <c r="L22" s="45"/>
      <c r="M22" s="45"/>
      <c r="N22" s="45"/>
      <c r="O22" s="45"/>
      <c r="P22" s="45"/>
      <c r="Q22" s="45"/>
      <c r="R22" s="45"/>
      <c r="S22" s="45"/>
      <c r="T22" s="45"/>
      <c r="U22" s="45"/>
      <c r="V22" s="45"/>
      <c r="W22" s="45"/>
      <c r="X22" s="45"/>
    </row>
    <row r="23" spans="1:24">
      <c r="A23" s="45"/>
      <c r="B23" s="45"/>
      <c r="C23" s="45"/>
      <c r="D23" s="45"/>
      <c r="E23" s="45"/>
      <c r="F23" s="45"/>
      <c r="G23" s="45"/>
      <c r="H23" s="45"/>
      <c r="I23" s="45"/>
      <c r="J23" s="45"/>
      <c r="K23" s="45"/>
      <c r="L23" s="45"/>
      <c r="M23" s="45"/>
      <c r="N23" s="45"/>
      <c r="O23" s="45"/>
      <c r="P23" s="45"/>
      <c r="Q23" s="45"/>
      <c r="R23" s="45"/>
      <c r="S23" s="45"/>
      <c r="T23" s="45"/>
      <c r="U23" s="45"/>
      <c r="V23" s="45"/>
      <c r="W23" s="45"/>
      <c r="X23" s="45"/>
    </row>
    <row r="24" spans="1:24">
      <c r="A24" s="45"/>
      <c r="B24" s="45"/>
      <c r="C24" s="45"/>
      <c r="D24" s="45"/>
      <c r="E24" s="45"/>
      <c r="F24" s="45"/>
      <c r="G24" s="45"/>
      <c r="H24" s="45"/>
      <c r="I24" s="45"/>
      <c r="J24" s="45"/>
      <c r="K24" s="45"/>
      <c r="L24" s="45"/>
      <c r="M24" s="45"/>
      <c r="N24" s="45"/>
      <c r="O24" s="45"/>
      <c r="P24" s="45"/>
      <c r="Q24" s="45"/>
      <c r="R24" s="45"/>
      <c r="S24" s="45"/>
      <c r="T24" s="45"/>
      <c r="U24" s="45"/>
      <c r="V24" s="45"/>
      <c r="W24" s="45"/>
      <c r="X24" s="45"/>
    </row>
    <row r="25" spans="1:24">
      <c r="A25" s="45"/>
      <c r="B25" s="45"/>
      <c r="C25" s="45"/>
      <c r="D25" s="45"/>
      <c r="E25" s="45"/>
      <c r="F25" s="45"/>
      <c r="G25" s="45"/>
      <c r="H25" s="45"/>
      <c r="I25" s="45"/>
      <c r="J25" s="45"/>
      <c r="K25" s="45"/>
      <c r="L25" s="45"/>
      <c r="M25" s="45"/>
      <c r="N25" s="45"/>
      <c r="O25" s="45"/>
      <c r="P25" s="45"/>
      <c r="Q25" s="45"/>
      <c r="R25" s="45"/>
      <c r="S25" s="45"/>
      <c r="T25" s="45"/>
      <c r="U25" s="45"/>
      <c r="V25" s="45"/>
      <c r="W25" s="45"/>
      <c r="X25" s="45"/>
    </row>
    <row r="26" spans="1:24">
      <c r="A26" s="45"/>
      <c r="B26" s="45"/>
      <c r="C26" s="45"/>
      <c r="D26" s="45"/>
      <c r="E26" s="45"/>
      <c r="F26" s="45"/>
      <c r="G26" s="45"/>
      <c r="H26" s="45"/>
      <c r="I26" s="45"/>
      <c r="J26" s="45"/>
      <c r="K26" s="45"/>
      <c r="L26" s="45"/>
      <c r="M26" s="45"/>
      <c r="N26" s="45"/>
      <c r="O26" s="45"/>
      <c r="P26" s="45"/>
      <c r="Q26" s="45"/>
      <c r="R26" s="45"/>
      <c r="S26" s="45"/>
      <c r="T26" s="45"/>
      <c r="U26" s="45"/>
      <c r="V26" s="45"/>
      <c r="W26" s="45"/>
      <c r="X26" s="45"/>
    </row>
    <row r="27" spans="1:24">
      <c r="A27" s="45"/>
      <c r="B27" s="45"/>
      <c r="C27" s="45"/>
      <c r="D27" s="45"/>
      <c r="E27" s="45"/>
      <c r="F27" s="45"/>
      <c r="G27" s="45"/>
      <c r="H27" s="45"/>
      <c r="I27" s="45"/>
      <c r="J27" s="45"/>
      <c r="K27" s="45"/>
      <c r="L27" s="45"/>
      <c r="M27" s="45"/>
      <c r="N27" s="45"/>
      <c r="O27" s="45"/>
      <c r="P27" s="45"/>
      <c r="Q27" s="45"/>
      <c r="R27" s="45"/>
      <c r="S27" s="45"/>
      <c r="T27" s="45"/>
      <c r="U27" s="45"/>
      <c r="V27" s="45"/>
      <c r="W27" s="45"/>
      <c r="X27" s="45"/>
    </row>
    <row r="28" spans="1:24">
      <c r="A28" s="45"/>
      <c r="B28" s="45"/>
      <c r="C28" s="45"/>
      <c r="D28" s="45"/>
      <c r="E28" s="45"/>
      <c r="F28" s="45"/>
      <c r="G28" s="45"/>
      <c r="H28" s="45"/>
      <c r="I28" s="45"/>
      <c r="J28" s="45"/>
      <c r="K28" s="45"/>
      <c r="L28" s="45"/>
      <c r="M28" s="45"/>
      <c r="N28" s="45"/>
      <c r="O28" s="45"/>
      <c r="P28" s="45"/>
      <c r="Q28" s="45"/>
      <c r="R28" s="45"/>
      <c r="S28" s="45"/>
      <c r="T28" s="45"/>
      <c r="U28" s="45"/>
      <c r="V28" s="45"/>
      <c r="W28" s="45"/>
      <c r="X28" s="45"/>
    </row>
    <row r="29" spans="1:24">
      <c r="A29" s="45"/>
      <c r="B29" s="45"/>
      <c r="C29" s="45"/>
      <c r="D29" s="45"/>
      <c r="E29" s="45"/>
      <c r="F29" s="45"/>
      <c r="G29" s="45"/>
      <c r="H29" s="45"/>
      <c r="I29" s="45"/>
      <c r="J29" s="45"/>
      <c r="K29" s="45"/>
      <c r="L29" s="45"/>
      <c r="M29" s="45"/>
      <c r="N29" s="45"/>
      <c r="O29" s="45"/>
      <c r="P29" s="45"/>
      <c r="Q29" s="45"/>
      <c r="R29" s="45"/>
      <c r="S29" s="45"/>
      <c r="T29" s="45"/>
      <c r="U29" s="45"/>
      <c r="V29" s="45"/>
      <c r="W29" s="45"/>
      <c r="X29" s="45"/>
    </row>
    <row r="30" spans="1:24">
      <c r="A30" s="45"/>
      <c r="B30" s="45"/>
      <c r="C30" s="45"/>
      <c r="D30" s="45"/>
      <c r="E30" s="45"/>
      <c r="F30" s="45"/>
      <c r="G30" s="45"/>
      <c r="H30" s="45"/>
      <c r="I30" s="45"/>
      <c r="J30" s="45"/>
      <c r="K30" s="45"/>
      <c r="L30" s="45"/>
      <c r="M30" s="45"/>
      <c r="N30" s="45"/>
      <c r="O30" s="45"/>
      <c r="P30" s="45"/>
      <c r="Q30" s="45"/>
      <c r="R30" s="45"/>
      <c r="S30" s="45"/>
      <c r="T30" s="45"/>
      <c r="U30" s="45"/>
      <c r="V30" s="45"/>
      <c r="W30" s="45"/>
      <c r="X30" s="45"/>
    </row>
    <row r="31" spans="1:24">
      <c r="A31" s="45"/>
      <c r="B31" s="45"/>
      <c r="C31" s="45"/>
      <c r="D31" s="45"/>
      <c r="E31" s="45"/>
      <c r="F31" s="45"/>
      <c r="G31" s="45"/>
      <c r="H31" s="45"/>
      <c r="I31" s="45"/>
      <c r="J31" s="45"/>
      <c r="K31" s="45"/>
      <c r="L31" s="45"/>
      <c r="M31" s="45"/>
      <c r="N31" s="45"/>
      <c r="O31" s="45"/>
      <c r="P31" s="45"/>
      <c r="Q31" s="45"/>
      <c r="R31" s="45"/>
      <c r="S31" s="45"/>
      <c r="T31" s="45"/>
      <c r="U31" s="45"/>
      <c r="V31" s="45"/>
      <c r="W31" s="45"/>
      <c r="X31" s="45"/>
    </row>
    <row r="32" spans="1:24">
      <c r="A32" s="45"/>
      <c r="B32" s="45"/>
      <c r="C32" s="45"/>
      <c r="D32" s="45"/>
      <c r="E32" s="45"/>
      <c r="F32" s="45"/>
      <c r="G32" s="45"/>
      <c r="H32" s="45"/>
      <c r="I32" s="45"/>
      <c r="J32" s="45"/>
      <c r="K32" s="45"/>
      <c r="L32" s="45"/>
      <c r="M32" s="45"/>
      <c r="N32" s="45"/>
      <c r="O32" s="45"/>
      <c r="P32" s="45"/>
      <c r="Q32" s="45"/>
      <c r="R32" s="45"/>
      <c r="S32" s="45"/>
      <c r="T32" s="45"/>
      <c r="U32" s="45"/>
      <c r="V32" s="45"/>
      <c r="W32" s="45"/>
      <c r="X32" s="45"/>
    </row>
    <row r="33" spans="1:24">
      <c r="A33" s="45"/>
      <c r="B33" s="45"/>
      <c r="C33" s="45"/>
      <c r="D33" s="45"/>
      <c r="E33" s="45"/>
      <c r="F33" s="45"/>
      <c r="G33" s="45"/>
      <c r="H33" s="45"/>
      <c r="I33" s="45"/>
      <c r="J33" s="45"/>
      <c r="K33" s="45"/>
      <c r="L33" s="45"/>
      <c r="M33" s="45"/>
      <c r="N33" s="45"/>
      <c r="O33" s="45"/>
      <c r="P33" s="45"/>
      <c r="Q33" s="45"/>
      <c r="R33" s="45"/>
      <c r="S33" s="45"/>
      <c r="T33" s="45"/>
      <c r="U33" s="45"/>
      <c r="V33" s="45"/>
      <c r="W33" s="45"/>
      <c r="X33" s="45"/>
    </row>
    <row r="34" spans="1:24">
      <c r="A34" s="45"/>
      <c r="B34" s="45"/>
      <c r="C34" s="45"/>
      <c r="D34" s="45"/>
      <c r="E34" s="45"/>
      <c r="F34" s="45"/>
      <c r="G34" s="45"/>
      <c r="H34" s="45"/>
      <c r="I34" s="45"/>
      <c r="J34" s="45"/>
      <c r="K34" s="45"/>
      <c r="L34" s="45"/>
      <c r="M34" s="45"/>
      <c r="N34" s="45"/>
      <c r="O34" s="45"/>
      <c r="P34" s="45"/>
      <c r="Q34" s="45"/>
      <c r="R34" s="45"/>
      <c r="S34" s="45"/>
      <c r="T34" s="45"/>
      <c r="U34" s="45"/>
      <c r="V34" s="45"/>
      <c r="W34" s="45"/>
      <c r="X34" s="45"/>
    </row>
    <row r="35" spans="1:24">
      <c r="A35" s="45"/>
      <c r="B35" s="45"/>
      <c r="C35" s="45"/>
      <c r="D35" s="45"/>
      <c r="E35" s="45"/>
      <c r="F35" s="45"/>
      <c r="G35" s="45"/>
      <c r="H35" s="45"/>
      <c r="I35" s="45"/>
      <c r="J35" s="45"/>
      <c r="K35" s="45"/>
      <c r="L35" s="45"/>
      <c r="M35" s="45"/>
      <c r="N35" s="45"/>
      <c r="O35" s="45"/>
      <c r="P35" s="45"/>
      <c r="Q35" s="45"/>
      <c r="R35" s="45"/>
      <c r="S35" s="45"/>
      <c r="T35" s="45"/>
      <c r="U35" s="45"/>
      <c r="V35" s="45"/>
      <c r="W35" s="45"/>
      <c r="X35" s="45"/>
    </row>
    <row r="36" spans="1:24">
      <c r="A36" s="45"/>
      <c r="B36" s="45"/>
      <c r="C36" s="45"/>
      <c r="D36" s="45"/>
      <c r="E36" s="45"/>
      <c r="F36" s="45"/>
      <c r="G36" s="45"/>
      <c r="H36" s="45"/>
      <c r="I36" s="45"/>
      <c r="J36" s="45"/>
      <c r="K36" s="45"/>
      <c r="L36" s="45"/>
      <c r="M36" s="45"/>
      <c r="N36" s="45"/>
      <c r="O36" s="45"/>
      <c r="P36" s="45"/>
      <c r="Q36" s="45"/>
      <c r="R36" s="45"/>
      <c r="S36" s="45"/>
      <c r="T36" s="45"/>
      <c r="U36" s="45"/>
      <c r="V36" s="45"/>
      <c r="W36" s="45"/>
      <c r="X36" s="45"/>
    </row>
    <row r="37" spans="1:24">
      <c r="A37" s="45"/>
      <c r="B37" s="45"/>
      <c r="C37" s="45"/>
      <c r="D37" s="45"/>
      <c r="E37" s="45"/>
      <c r="F37" s="45"/>
      <c r="G37" s="45"/>
      <c r="H37" s="45"/>
      <c r="I37" s="45"/>
      <c r="J37" s="45"/>
      <c r="K37" s="45"/>
      <c r="L37" s="45"/>
      <c r="M37" s="45"/>
      <c r="N37" s="45"/>
      <c r="O37" s="45"/>
      <c r="P37" s="45"/>
      <c r="Q37" s="45"/>
      <c r="R37" s="45"/>
      <c r="S37" s="45"/>
      <c r="T37" s="45"/>
      <c r="U37" s="45"/>
      <c r="V37" s="45"/>
      <c r="W37" s="45"/>
      <c r="X37" s="45"/>
    </row>
    <row r="38" spans="1:24">
      <c r="A38" s="45"/>
      <c r="B38" s="45"/>
      <c r="C38" s="45"/>
      <c r="D38" s="45"/>
      <c r="E38" s="45"/>
      <c r="F38" s="45"/>
      <c r="G38" s="45"/>
      <c r="H38" s="45"/>
      <c r="I38" s="45"/>
      <c r="J38" s="45"/>
      <c r="K38" s="45"/>
      <c r="L38" s="45"/>
      <c r="M38" s="45"/>
      <c r="N38" s="45"/>
      <c r="O38" s="45"/>
      <c r="P38" s="45"/>
      <c r="Q38" s="45"/>
      <c r="R38" s="45"/>
      <c r="S38" s="45"/>
      <c r="T38" s="45"/>
      <c r="U38" s="45"/>
      <c r="V38" s="45"/>
      <c r="W38" s="45"/>
      <c r="X38" s="45"/>
    </row>
    <row r="39" spans="1:24">
      <c r="A39" s="47" t="str">
        <f>Adv.ExcelSheet!A56&amp;"="&amp;Adv.ExcelSheet!B56</f>
        <v>Total Sales=314900</v>
      </c>
    </row>
    <row r="40" spans="1:24">
      <c r="A40" s="47" t="str">
        <f>Adv.ExcelSheet!A57&amp;"="&amp;Adv.ExcelSheet!B57</f>
        <v>Total Profit=94470</v>
      </c>
    </row>
    <row r="41" spans="1:24">
      <c r="A41" s="47" t="str">
        <f>Adv.ExcelSheet!A58&amp;"="&amp;Adv.ExcelSheet!B58</f>
        <v>Total Orders=50</v>
      </c>
    </row>
    <row r="42" spans="1:24">
      <c r="A42" s="47" t="str">
        <f>Adv.ExcelSheet!A59&amp;"="&amp;Adv.ExcelSheet!B59</f>
        <v>Avg Profit Margin=0.16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Basic</vt:lpstr>
      <vt:lpstr>Intermediate</vt:lpstr>
      <vt:lpstr>Lookup</vt:lpstr>
      <vt:lpstr>Date Function</vt:lpstr>
      <vt:lpstr>Advance</vt:lpstr>
      <vt:lpstr>What-IF Analysis</vt:lpstr>
      <vt:lpstr>Chart &amp; Dashboard</vt:lpstr>
      <vt:lpstr>Adv. Data Cleaning</vt:lpstr>
      <vt:lpstr>Adv.ExcelSheet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mgbisht461995@gmail.com</dc:creator>
  <cp:lastModifiedBy>mgbisht461995@gmail.com</cp:lastModifiedBy>
  <dcterms:created xsi:type="dcterms:W3CDTF">2026-01-13T08:41:50Z</dcterms:created>
  <dcterms:modified xsi:type="dcterms:W3CDTF">2026-01-17T15:07:32Z</dcterms:modified>
</cp:coreProperties>
</file>